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\studyplan\"/>
    </mc:Choice>
  </mc:AlternateContent>
  <xr:revisionPtr revIDLastSave="0" documentId="13_ncr:1_{E49F5534-0018-4250-92CC-BCFB65190980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Dashboard" sheetId="1" r:id="rId1"/>
    <sheet name="Daily Plan" sheetId="2" r:id="rId2"/>
    <sheet name="way to prepare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B4" i="2"/>
  <c r="A5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3" i="2"/>
  <c r="B3" i="2"/>
  <c r="B2" i="2"/>
  <c r="E7" i="1"/>
  <c r="E5" i="1"/>
  <c r="E4" i="1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E6" i="1" s="1"/>
</calcChain>
</file>

<file path=xl/sharedStrings.xml><?xml version="1.0" encoding="utf-8"?>
<sst xmlns="http://schemas.openxmlformats.org/spreadsheetml/2006/main" count="738" uniqueCount="527">
  <si>
    <t>Machine Learning &amp; Deep Learning Study Plan</t>
  </si>
  <si>
    <t>Week</t>
  </si>
  <si>
    <t>Planned hours</t>
  </si>
  <si>
    <t>Plan Start</t>
  </si>
  <si>
    <t>Progress KPI</t>
  </si>
  <si>
    <t>Value</t>
  </si>
  <si>
    <t>Plan End</t>
  </si>
  <si>
    <t>Completed days</t>
  </si>
  <si>
    <t>Scheduled Study Days</t>
  </si>
  <si>
    <t>In-progress days</t>
  </si>
  <si>
    <t>Study Time per Day</t>
  </si>
  <si>
    <t>4 hours</t>
  </si>
  <si>
    <t>Overall completion</t>
  </si>
  <si>
    <t>Planned Study Hours</t>
  </si>
  <si>
    <t>Actual hours logged</t>
  </si>
  <si>
    <t>Buffer Sundays</t>
  </si>
  <si>
    <t>Learning Pace</t>
  </si>
  <si>
    <t>Slow and practice-first</t>
  </si>
  <si>
    <t>Daily 4-Hour Method</t>
  </si>
  <si>
    <t>Block</t>
  </si>
  <si>
    <t>Minutes</t>
  </si>
  <si>
    <t>What to do</t>
  </si>
  <si>
    <t>Rule</t>
  </si>
  <si>
    <t>1. Learn concept</t>
  </si>
  <si>
    <t>Read/watch and make concise notes</t>
  </si>
  <si>
    <t>Use active recall; do not copy long notes.</t>
  </si>
  <si>
    <t>2. Guided coding</t>
  </si>
  <si>
    <t>Follow a notebook/tutorial once</t>
  </si>
  <si>
    <t>Type code yourself and add comments.</t>
  </si>
  <si>
    <t>3. Independent practice</t>
  </si>
  <si>
    <t>Solve/modify without looking</t>
  </si>
  <si>
    <t>Produce the listed daily deliverable.</t>
  </si>
  <si>
    <t>4. Revision</t>
  </si>
  <si>
    <t>Recall yesterday + key formula/idea</t>
  </si>
  <si>
    <t>Use flashcards or a 5-question self-quiz.</t>
  </si>
  <si>
    <t>How to use this workbook</t>
  </si>
  <si>
    <t>Chart data helper</t>
  </si>
  <si>
    <t>Date</t>
  </si>
  <si>
    <t>Day</t>
  </si>
  <si>
    <t>Module</t>
  </si>
  <si>
    <t>Topic / Chapter Focus</t>
  </si>
  <si>
    <t>Learning Objective</t>
  </si>
  <si>
    <t>Theory (min)</t>
  </si>
  <si>
    <t>Guided Learning / Coding (min)</t>
  </si>
  <si>
    <t>Independent Practice (min)</t>
  </si>
  <si>
    <t>Revision (min)</t>
  </si>
  <si>
    <t>Total (min)</t>
  </si>
  <si>
    <t>Daily Deliverable</t>
  </si>
  <si>
    <t>Status</t>
  </si>
  <si>
    <t>Actual Hours</t>
  </si>
  <si>
    <t>Notes</t>
  </si>
  <si>
    <t>Completion %</t>
  </si>
  <si>
    <t>Not Started</t>
  </si>
  <si>
    <t>3. Regression Models I</t>
  </si>
  <si>
    <t>Decision trees for regression</t>
  </si>
  <si>
    <t>Understand splits, leaf predictions and tree depth.</t>
  </si>
  <si>
    <t>Train a regression tree and visualize decision rules.</t>
  </si>
  <si>
    <t>Random forests for regression</t>
  </si>
  <si>
    <t>Understand bagging, feature randomness and averaging.</t>
  </si>
  <si>
    <t>Compare one decision tree vs random forest.</t>
  </si>
  <si>
    <t>Gradient-boosting machines</t>
  </si>
  <si>
    <t>Explain sequential error correction, learning rate and trees.</t>
  </si>
  <si>
    <t>Train a gradient boosting regressor and tune learning rate.</t>
  </si>
  <si>
    <t>Regression model comparison + weekly review</t>
  </si>
  <si>
    <t>Select models using consistent validation.</t>
  </si>
  <si>
    <t>Create a comparison table for Linear/Tree/RF/GBM.</t>
  </si>
  <si>
    <t>4. Regression Models II &amp; Taxi Fare Project</t>
  </si>
  <si>
    <t>Support Vector Regression (SVR)</t>
  </si>
  <si>
    <t>Understand epsilon tube, support vectors and kernels.</t>
  </si>
  <si>
    <t>Fit linear and RBF SVR on a small dataset.</t>
  </si>
  <si>
    <t>Regression metrics: MAE, MSE, RMSE, R²</t>
  </si>
  <si>
    <t>Match metric to business cost.</t>
  </si>
  <si>
    <t>Calculate metrics manually for 5 predictions.</t>
  </si>
  <si>
    <t>Advanced regression diagnostics</t>
  </si>
  <si>
    <t>Interpret residual plots, outliers and systematic errors.</t>
  </si>
  <si>
    <t>Diagnose 3 supplied regression failure scenarios.</t>
  </si>
  <si>
    <t>5. Classification Models I</t>
  </si>
  <si>
    <t>Logistic regression intuition</t>
  </si>
  <si>
    <t>Understand probabilities, logits, sigmoid and decision boundary.</t>
  </si>
  <si>
    <t>Compute sigmoid probabilities for 5 logit values.</t>
  </si>
  <si>
    <t>Classification metrics: accuracy, precision, recall, F1</t>
  </si>
  <si>
    <t>Choose metrics based on false-positive/false-negative cost.</t>
  </si>
  <si>
    <t>Build a metric-selection cheat sheet.</t>
  </si>
  <si>
    <t>Confusion matrix, ROC-AUC and PR-AUC</t>
  </si>
  <si>
    <t>Interpret threshold-dependent and ranking metrics.</t>
  </si>
  <si>
    <t>Plot ROC and precision–recall curves.</t>
  </si>
  <si>
    <t>Categorical data and encoding</t>
  </si>
  <si>
    <t>Use one-hot encoding safely; avoid dummy-variable pitfalls.</t>
  </si>
  <si>
    <t>Encode categorical columns using a pipeline.</t>
  </si>
  <si>
    <t>Binary classification workflow</t>
  </si>
  <si>
    <t>Build baseline, threshold and evaluation workflow.</t>
  </si>
  <si>
    <t>Train logistic regression on a binary dataset.</t>
  </si>
  <si>
    <t>Classification revision + quiz</t>
  </si>
  <si>
    <t>Explain every core metric in plain language.</t>
  </si>
  <si>
    <t>20-question self-test plus corrections.</t>
  </si>
  <si>
    <t>6. Classification Models II</t>
  </si>
  <si>
    <t>Titanic project: EDA and feature engineering</t>
  </si>
  <si>
    <t>Prepare mixed-type data for classification.</t>
  </si>
  <si>
    <t>Build preprocessing pipeline for Titanic data.</t>
  </si>
  <si>
    <t>Titanic project: model and evaluation</t>
  </si>
  <si>
    <t>Compare logistic regression and tree-based classifier.</t>
  </si>
  <si>
    <t>Create confusion matrix and metric report.</t>
  </si>
  <si>
    <t>Class imbalance and credit-card fraud</t>
  </si>
  <si>
    <t>Understand imbalance, class weights, resampling and thresholding.</t>
  </si>
  <si>
    <t>Show why accuracy is misleading on imbalanced data.</t>
  </si>
  <si>
    <t>Fraud detection practice</t>
  </si>
  <si>
    <t>Evaluate with precision-recall, F1 and recall at a threshold.</t>
  </si>
  <si>
    <t>Train a class-weighted model and compare results.</t>
  </si>
  <si>
    <t>Multiclass classification</t>
  </si>
  <si>
    <t>Understand one-vs-rest, softmax and macro/micro metrics.</t>
  </si>
  <si>
    <t>Train an Iris/digits multiclass model.</t>
  </si>
  <si>
    <t>Digit-recognition project + review</t>
  </si>
  <si>
    <t>Build and explain a multiclass pipeline.</t>
  </si>
  <si>
    <t>Complete digits classifier and revise Weeks 5–6.</t>
  </si>
  <si>
    <t>7. Text Classification</t>
  </si>
  <si>
    <t>Text preparation</t>
  </si>
  <si>
    <t>Tokenization, lowercasing, stop words, stemming/lemmatization.</t>
  </si>
  <si>
    <t>Clean 30 sample reviews and compare raw vs cleaned text.</t>
  </si>
  <si>
    <t>Bag of Words and TF-IDF</t>
  </si>
  <si>
    <t>Convert text to sparse numeric features.</t>
  </si>
  <si>
    <t>Build CountVectorizer and TfidfVectorizer representations.</t>
  </si>
  <si>
    <t>Sentiment analysis workflow</t>
  </si>
  <si>
    <t>Frame sentiment task and evaluate it.</t>
  </si>
  <si>
    <t>Train baseline sentiment classifier.</t>
  </si>
  <si>
    <t>Naive Bayes intuition</t>
  </si>
  <si>
    <t>Explain conditional probability and independence assumption.</t>
  </si>
  <si>
    <t>Calculate a small Naive Bayes example manually.</t>
  </si>
  <si>
    <t>Spam filtering</t>
  </si>
  <si>
    <t>Build spam/ham classifier and inspect errors.</t>
  </si>
  <si>
    <t>Create a Naive Bayes spam filter notebook.</t>
  </si>
  <si>
    <t>Text-classification review</t>
  </si>
  <si>
    <t>Compare preprocessing/vectorization/model choices.</t>
  </si>
  <si>
    <t>Write error analysis for 10 wrong predictions.</t>
  </si>
  <si>
    <t>8. Recommenders &amp; SVM Introduction</t>
  </si>
  <si>
    <t>Recommender systems overview</t>
  </si>
  <si>
    <t>Differentiate content-based, collaborative and hybrid approaches.</t>
  </si>
  <si>
    <t>Map 6 product examples to recommender type.</t>
  </si>
  <si>
    <t>Cosine similarity</t>
  </si>
  <si>
    <t>Understand vector angle similarity.</t>
  </si>
  <si>
    <t>Compute cosine similarity manually and in Python.</t>
  </si>
  <si>
    <t>Movie recommendation system</t>
  </si>
  <si>
    <t>Build content-based recommendations.</t>
  </si>
  <si>
    <t>Recommend 5 similar movies using TF-IDF + cosine similarity.</t>
  </si>
  <si>
    <t>Recommendation evaluation and limitations</t>
  </si>
  <si>
    <t>Understand cold start, diversity and popularity bias.</t>
  </si>
  <si>
    <t>Write a mitigation plan for each limitation.</t>
  </si>
  <si>
    <t>SVM intuition: maximum-margin classifier</t>
  </si>
  <si>
    <t>Explain margin and support vectors.</t>
  </si>
  <si>
    <t>Draw separating hyperplanes for a tiny 2D dataset.</t>
  </si>
  <si>
    <t>Bridge practice + revision</t>
  </si>
  <si>
    <t>Connect text vectors, cosine similarity and SVM.</t>
  </si>
  <si>
    <t>Rebuild movie recommender; revise Weeks 7–8.</t>
  </si>
  <si>
    <t>9. Support Vector Machines</t>
  </si>
  <si>
    <t>How SVM works</t>
  </si>
  <si>
    <t>Understand hard/soft margin and C parameter.</t>
  </si>
  <si>
    <t>Train linear SVM with three C values.</t>
  </si>
  <si>
    <t>Kernels</t>
  </si>
  <si>
    <t>Recognize when linear boundaries are insufficient.</t>
  </si>
  <si>
    <t>Visualize linear vs nonlinear decision boundary.</t>
  </si>
  <si>
    <t>Kernel trick</t>
  </si>
  <si>
    <t>Explain implicit high-dimensional transformation.</t>
  </si>
  <si>
    <t>Compare linear, polynomial and RBF kernels.</t>
  </si>
  <si>
    <t>Hyperparameter tuning</t>
  </si>
  <si>
    <t>Tune C, gamma and kernel with cross-validation.</t>
  </si>
  <si>
    <t>Run GridSearchCV for SVM pipeline.</t>
  </si>
  <si>
    <t>Data normalization and pipelining</t>
  </si>
  <si>
    <t>Prevent leakage by scaling inside a pipeline.</t>
  </si>
  <si>
    <t>Build StandardScaler + SVC pipeline.</t>
  </si>
  <si>
    <t>Facial-recognition SVM case study + review</t>
  </si>
  <si>
    <t>Apply SVM workflow to high-dimensional features.</t>
  </si>
  <si>
    <t>Complete a simplified faces/SVM notebook.</t>
  </si>
  <si>
    <t>10. Principal Component Analysis</t>
  </si>
  <si>
    <t>PCA intuition</t>
  </si>
  <si>
    <t>Understand variance, components and dimensionality reduction.</t>
  </si>
  <si>
    <t>Project simple 2D points onto first component.</t>
  </si>
  <si>
    <t>PCA mechanics</t>
  </si>
  <si>
    <t>Understand centering, covariance and eigenvector intuition.</t>
  </si>
  <si>
    <t>Apply PCA to standardized numerical data.</t>
  </si>
  <si>
    <t>Choosing components; explained variance</t>
  </si>
  <si>
    <t>Use scree/explained-variance plots.</t>
  </si>
  <si>
    <t>Choose components for 90%, 95%, 99% variance.</t>
  </si>
  <si>
    <t>Filtering noise</t>
  </si>
  <si>
    <t>Use reconstruction to reduce low-variance noise.</t>
  </si>
  <si>
    <t>Compare original/noisy/reconstructed signals.</t>
  </si>
  <si>
    <t>Anonymizing and visualizing high-dimensional data</t>
  </si>
  <si>
    <t>Understand benefits and limitations of projection.</t>
  </si>
  <si>
    <t>Visualize digits in 2D PCA space.</t>
  </si>
  <si>
    <t>PCA revision + practice</t>
  </si>
  <si>
    <t>Explain PCA without formulas and with formulas.</t>
  </si>
  <si>
    <t>Build a PCA comparison notebook and self-quiz.</t>
  </si>
  <si>
    <t>11. PCA Applications &amp; Operationalization I</t>
  </si>
  <si>
    <t>PCA for anomaly detection</t>
  </si>
  <si>
    <t>Use reconstruction error or low-dimensional distance.</t>
  </si>
  <si>
    <t>Detect anomalies in a toy dataset.</t>
  </si>
  <si>
    <t>PCA credit-card fraud case study</t>
  </si>
  <si>
    <t>Frame anomalies and inspect false alarms.</t>
  </si>
  <si>
    <t>Create PCA-based anomaly score pipeline.</t>
  </si>
  <si>
    <t>Bearing-failure prediction case study</t>
  </si>
  <si>
    <t>Understand multivariate sensor anomaly workflow.</t>
  </si>
  <si>
    <t>Analyze synthetic sensor features with PCA.</t>
  </si>
  <si>
    <t>Multivariate anomaly detection</t>
  </si>
  <si>
    <t>Compare statistical and PCA approaches.</t>
  </si>
  <si>
    <t>Write detection threshold rationale.</t>
  </si>
  <si>
    <t>Python model client consumption</t>
  </si>
  <si>
    <t>Load model and serve predictions to a Python caller.</t>
  </si>
  <si>
    <t>Save/load a scikit-learn model with joblib.</t>
  </si>
  <si>
    <t>Pickle versioning + weekly review</t>
  </si>
  <si>
    <t>Handle compatibility and metadata.</t>
  </si>
  <si>
    <t>Create model artifact folder with version metadata.</t>
  </si>
  <si>
    <t>12. Operationalization II &amp; Deep Learning Intro</t>
  </si>
  <si>
    <t>Consume model from C# conceptually; ONNX bridge</t>
  </si>
  <si>
    <t>Understand portability, model formats and trade-offs.</t>
  </si>
  <si>
    <t>Export a simple model to ONNX or document the flow.</t>
  </si>
  <si>
    <t>Containerizing an ML model</t>
  </si>
  <si>
    <t>Understand Dockerfile, API, dependencies and image.</t>
  </si>
  <si>
    <t>Containerize a minimal prediction API or write Dockerfile.</t>
  </si>
  <si>
    <t>ML.NET overview; sentiment analysis</t>
  </si>
  <si>
    <t>Understand cross-language ML deployment.</t>
  </si>
  <si>
    <t>Recreate sentiment-flow design in notes.</t>
  </si>
  <si>
    <t>Excel ML capabilities + operationalization review</t>
  </si>
  <si>
    <t>Identify business-friendly model consumption paths.</t>
  </si>
  <si>
    <t>Create a deployment decision matrix.</t>
  </si>
  <si>
    <t>Deep learning fundamentals</t>
  </si>
  <si>
    <t>Understand neurons, layers, activations and representations.</t>
  </si>
  <si>
    <t>Build a 1-neuron calculation by hand.</t>
  </si>
  <si>
    <t>Training neural networks</t>
  </si>
  <si>
    <t>Understand loss, backpropagation, optimizer and epochs.</t>
  </si>
  <si>
    <t>Train a tiny Keras model; revise Week 12.</t>
  </si>
  <si>
    <t>13. Neural Networks I</t>
  </si>
  <si>
    <t>Keras/TensorFlow workflow</t>
  </si>
  <si>
    <t>Build, compile, fit and evaluate a Sequential model.</t>
  </si>
  <si>
    <t>Train a basic dense network.</t>
  </si>
  <si>
    <t>Sizing a neural network</t>
  </si>
  <si>
    <t>Choose depth/width based on task complexity.</t>
  </si>
  <si>
    <t>Compare small, medium and large architectures.</t>
  </si>
  <si>
    <t>Neural-net regression: taxi fares</t>
  </si>
  <si>
    <t>Apply dense networks to continuous target.</t>
  </si>
  <si>
    <t>Train NN regression baseline and compare RMSE.</t>
  </si>
  <si>
    <t>Binary classification with neural networks</t>
  </si>
  <si>
    <t>Use sigmoid/BCE and thresholding.</t>
  </si>
  <si>
    <t>Train a binary classifier.</t>
  </si>
  <si>
    <t>Making predictions; calibration basics</t>
  </si>
  <si>
    <t>Interpret probabilities and prediction outputs.</t>
  </si>
  <si>
    <t>Inspect 20 predictions and their confidence.</t>
  </si>
  <si>
    <t>Neural-network review</t>
  </si>
  <si>
    <t>Explain architecture-to-output mapping.</t>
  </si>
  <si>
    <t>Rebuild a binary NN without looking at notes.</t>
  </si>
  <si>
    <t>14. Neural Networks II</t>
  </si>
  <si>
    <t>NN for credit-card fraud</t>
  </si>
  <si>
    <t>Handle imbalance in deep learning.</t>
  </si>
  <si>
    <t>Use class weights and PR metrics.</t>
  </si>
  <si>
    <t>Multiclass neural networks</t>
  </si>
  <si>
    <t>Use softmax and sparse/categorical cross-entropy.</t>
  </si>
  <si>
    <t>Train a digits multiclass dense NN.</t>
  </si>
  <si>
    <t>Face-recognition neural-network case study</t>
  </si>
  <si>
    <t>Understand embeddings and classification heads.</t>
  </si>
  <si>
    <t>Build a conceptual embedding workflow.</t>
  </si>
  <si>
    <t>Dropout and regularization</t>
  </si>
  <si>
    <t>Reduce overfitting in neural networks.</t>
  </si>
  <si>
    <t>Compare training curves with/without dropout.</t>
  </si>
  <si>
    <t>Saving/loading models</t>
  </si>
  <si>
    <t>Persist weights, architecture and full model.</t>
  </si>
  <si>
    <t>Save and reload a Keras model.</t>
  </si>
  <si>
    <t>Keras callbacks + revision</t>
  </si>
  <si>
    <t>Use EarlyStopping, ModelCheckpoint and ReduceLROnPlateau.</t>
  </si>
  <si>
    <t>Add callbacks to a training notebook.</t>
  </si>
  <si>
    <t>15. CNN Foundations</t>
  </si>
  <si>
    <t>CNN intuition</t>
  </si>
  <si>
    <t>Understand convolution, filters, feature maps and pooling.</t>
  </si>
  <si>
    <t>Manually apply a tiny convolution kernel.</t>
  </si>
  <si>
    <t>Build CNNs with Keras/TensorFlow</t>
  </si>
  <si>
    <t>Create Conv2D/Pooling/Flatten/Dense pipeline.</t>
  </si>
  <si>
    <t>Train a CNN on a small image dataset.</t>
  </si>
  <si>
    <t>Arctic-wildlife image classification</t>
  </si>
  <si>
    <t>Prepare image dataset and baseline.</t>
  </si>
  <si>
    <t>Create data pipeline and first CNN.</t>
  </si>
  <si>
    <t>Pretrained CNNs</t>
  </si>
  <si>
    <t>Understand feature extractors and ImageNet transfer.</t>
  </si>
  <si>
    <t>Run inference using pretrained ResNet50V2.</t>
  </si>
  <si>
    <t>Transfer learning</t>
  </si>
  <si>
    <t>Freeze/unfreeze layers and fine-tune safely.</t>
  </si>
  <si>
    <t>Compare scratch model vs transfer learning.</t>
  </si>
  <si>
    <t>CNN revision + practice</t>
  </si>
  <si>
    <t>Explain complete image-classification pipeline.</t>
  </si>
  <si>
    <t>Document results and errors from wildlife model.</t>
  </si>
  <si>
    <t>16. CNN Advanced</t>
  </si>
  <si>
    <t>Transfer learning for Arctic wildlife</t>
  </si>
  <si>
    <t>Fine-tune model with appropriate learning rate.</t>
  </si>
  <si>
    <t>Train and evaluate transfer-learning model.</t>
  </si>
  <si>
    <t>Data augmentation concepts</t>
  </si>
  <si>
    <t>Reduce overfitting with realistic transformations.</t>
  </si>
  <si>
    <t>Design augmentation policy for wildlife images.</t>
  </si>
  <si>
    <t>ImageDataGenerator</t>
  </si>
  <si>
    <t>Implement legacy image augmentation workflow.</t>
  </si>
  <si>
    <t>Train model with ImageDataGenerator.</t>
  </si>
  <si>
    <t>Augmentation layers</t>
  </si>
  <si>
    <t>Use modern in-model augmentation layers.</t>
  </si>
  <si>
    <t>Compare augmentation-layer result with legacy method.</t>
  </si>
  <si>
    <t>Global pooling</t>
  </si>
  <si>
    <t>Understand GlobalAveragePooling and parameter reduction.</t>
  </si>
  <si>
    <t>Compare Flatten vs global pooling parameter counts.</t>
  </si>
  <si>
    <t>Audio classification with CNNs + review</t>
  </si>
  <si>
    <t>Convert audio to spectrograms and classify.</t>
  </si>
  <si>
    <t>Create mini spectrogram-CNN experiment.</t>
  </si>
  <si>
    <t>17. Face Detection &amp; Recognition</t>
  </si>
  <si>
    <t>Face detection; Viola-Jones</t>
  </si>
  <si>
    <t>Understand Haar features and cascade concept.</t>
  </si>
  <si>
    <t>Run OpenCV Haar Cascade face detection.</t>
  </si>
  <si>
    <t>OpenCV face extraction</t>
  </si>
  <si>
    <t>Crop and align detected faces.</t>
  </si>
  <si>
    <t>Extract faces from a folder of photos.</t>
  </si>
  <si>
    <t>CNN face detection</t>
  </si>
  <si>
    <t>Understand modern detector advantages.</t>
  </si>
  <si>
    <t>Compare cascade vs CNN detector conceptually.</t>
  </si>
  <si>
    <t>Facial recognition; transfer learning</t>
  </si>
  <si>
    <t>Learn embeddings and similarity classification.</t>
  </si>
  <si>
    <t>Build a small embedding-based recognition demo.</t>
  </si>
  <si>
    <t>Task-specific weights; ArcFace</t>
  </si>
  <si>
    <t>Understand margin-based face embeddings.</t>
  </si>
  <si>
    <t>Explain ArcFace in your own words with diagram.</t>
  </si>
  <si>
    <t>Unknown faces; open vs closed set + review</t>
  </si>
  <si>
    <t>Handle rejection/unknown identities.</t>
  </si>
  <si>
    <t>Add unknown thresholding logic to demo.</t>
  </si>
  <si>
    <t>18. Object Detection</t>
  </si>
  <si>
    <t>Object detection framing; R-CNN family</t>
  </si>
  <si>
    <t>Understand boxes, labels, proposals and IoU.</t>
  </si>
  <si>
    <t>Draw and label 10 bounding-box examples.</t>
  </si>
  <si>
    <t>Mask R-CNN</t>
  </si>
  <si>
    <t>Differentiate detection from instance segmentation.</t>
  </si>
  <si>
    <t>Compare R-CNN, Faster R-CNN and Mask R-CNN.</t>
  </si>
  <si>
    <t>YOLO</t>
  </si>
  <si>
    <t>Understand single-stage detection and speed trade-off.</t>
  </si>
  <si>
    <t>Run pretrained YOLO inference.</t>
  </si>
  <si>
    <t>YOLOv3 and Keras</t>
  </si>
  <si>
    <t>Understand model outputs and post-processing.</t>
  </si>
  <si>
    <t>Inspect confidence, NMS and bounding boxes.</t>
  </si>
  <si>
    <t>Custom object detection with Custom Vision</t>
  </si>
  <si>
    <t>Prepare dataset, labels and train/validate.</t>
  </si>
  <si>
    <t>Create a custom-detection project plan.</t>
  </si>
  <si>
    <t>Exported model/inference + review</t>
  </si>
  <si>
    <t>Deploy and test exported detection model.</t>
  </si>
  <si>
    <t>Write object-detection evaluation summary.</t>
  </si>
  <si>
    <t>19. NLP with Deep Learning</t>
  </si>
  <si>
    <t>Neural text preparation and word embeddings</t>
  </si>
  <si>
    <t>Understand embedding spaces and semantic similarity.</t>
  </si>
  <si>
    <t>Use pretrained or learned embeddings.</t>
  </si>
  <si>
    <t>Text classification with embeddings</t>
  </si>
  <si>
    <t>Build embedding + dense sentiment model.</t>
  </si>
  <si>
    <t>Train and compare against TF-IDF baseline.</t>
  </si>
  <si>
    <t>TextVectorization</t>
  </si>
  <si>
    <t>Automate vocabulary and token handling.</t>
  </si>
  <si>
    <t>Build TextVectorization sentiment pipeline.</t>
  </si>
  <si>
    <t>Word order and RNNs</t>
  </si>
  <si>
    <t>Understand sequence order, hidden state and limitations.</t>
  </si>
  <si>
    <t>Train a simple RNN/LSTM text classifier.</t>
  </si>
  <si>
    <t>Pretrained NLP models</t>
  </si>
  <si>
    <t>Use transformers for text classification.</t>
  </si>
  <si>
    <t>Run pretrained text-classification pipeline.</t>
  </si>
  <si>
    <t>NLP revision + error analysis</t>
  </si>
  <si>
    <t>Compare BoW/TF-IDF/RNN/transformer approaches.</t>
  </si>
  <si>
    <t>Create model-selection table.</t>
  </si>
  <si>
    <t>20. NMT, Transformers &amp; BERT</t>
  </si>
  <si>
    <t>Neural machine translation; encoder-decoder</t>
  </si>
  <si>
    <t>Understand source/target sequences and attention need.</t>
  </si>
  <si>
    <t>Build translation data preprocessing pipeline.</t>
  </si>
  <si>
    <t>LSTM encoder-decoder</t>
  </si>
  <si>
    <t>Understand sequence-to-sequence architecture.</t>
  </si>
  <si>
    <t>Train or inspect a small LSTM NMT example.</t>
  </si>
  <si>
    <t>Transformer encoder-decoders</t>
  </si>
  <si>
    <t>Understand attention, positional encoding and parallelism.</t>
  </si>
  <si>
    <t>Draw transformer NMT architecture.</t>
  </si>
  <si>
    <t>Transformer-based NMT model</t>
  </si>
  <si>
    <t>Implement basic transformer components.</t>
  </si>
  <si>
    <t>Run a compact transformer NMT notebook.</t>
  </si>
  <si>
    <t>Pretrained translation; BERT</t>
  </si>
  <si>
    <t>Use pretrained translation and understand BERT encoder.</t>
  </si>
  <si>
    <t>Compare translation outputs; inspect BERT embeddings.</t>
  </si>
  <si>
    <t>BERT QA + sentiment fine-tuning + review</t>
  </si>
  <si>
    <t>Understand extractive QA and task adaptation.</t>
  </si>
  <si>
    <t>Fine-tune a small BERT classifier or complete guided notebook.</t>
  </si>
  <si>
    <t>21. Azure Cognitive Services &amp; Final Consolidation</t>
  </si>
  <si>
    <t>Azure Cognitive Services overview; keys/endpoints</t>
  </si>
  <si>
    <t>Understand managed AI services and authentication.</t>
  </si>
  <si>
    <t>Create service selection matrix for business use cases.</t>
  </si>
  <si>
    <t>Calling APIs; containers</t>
  </si>
  <si>
    <t>Use APIs securely and understand container option.</t>
  </si>
  <si>
    <t>Design an API call flow with secrets handling.</t>
  </si>
  <si>
    <t>Computer Vision Service</t>
  </si>
  <si>
    <t>Use OCR/image analysis and assess outputs.</t>
  </si>
  <si>
    <t>Run or simulate a Computer Vision workflow.</t>
  </si>
  <si>
    <t>Language, Translator and Speech Services</t>
  </si>
  <si>
    <t>Map language, translation and speech APIs to tasks.</t>
  </si>
  <si>
    <t>Create mini pipeline design for multilingual support.</t>
  </si>
  <si>
    <t>Contoso Travel integration case study</t>
  </si>
  <si>
    <t>Compose multiple AI services in one application.</t>
  </si>
  <si>
    <t>Create architecture diagram and user flow.</t>
  </si>
  <si>
    <t>Final revision &amp; capstone presentation</t>
  </si>
  <si>
    <t>Consolidate end-to-end ML/DL knowledge.</t>
  </si>
  <si>
    <t>Present one project; complete final gap list and next-step plan.</t>
  </si>
  <si>
    <t>Every Monday–Saturday row is a 3-hour plan. Update Status and Actual Hours in Daily Plan. Do not schedule anything on Sunday: use it only when you miss a task or need extra time for a hard topic. Complete the listed deliverable before moving on. Revision is intentionally daily and full-module revision is scheduled each week.</t>
  </si>
  <si>
    <t>Universal Interview Preparation Framework (Works for Any Technical Topic)</t>
  </si>
  <si>
    <t>1. Definition (What?)</t>
  </si>
  <si>
    <r>
      <t>Goal:</t>
    </r>
    <r>
      <rPr>
        <sz val="11"/>
        <rFont val="Carlito"/>
      </rPr>
      <t xml:space="preserve"> Explain the concept in 15–30 seconds.</t>
    </r>
  </si>
  <si>
    <t>Questions</t>
  </si>
  <si>
    <t>What is it?</t>
  </si>
  <si>
    <t>What category does it belong to?</t>
  </si>
  <si>
    <t>What problem does it solve?</t>
  </si>
  <si>
    <t>2. Motivation (Why?)</t>
  </si>
  <si>
    <t>Understand why it exists.</t>
  </si>
  <si>
    <t>Why was it introduced?</t>
  </si>
  <si>
    <t>What problem did previous methods have?</t>
  </si>
  <si>
    <t>What gap does it fill?</t>
  </si>
  <si>
    <t>3. Working (How?)</t>
  </si>
  <si>
    <t>Understand the complete workflow.</t>
  </si>
  <si>
    <t>How does it work internally?</t>
  </si>
  <si>
    <t>What are its components?</t>
  </si>
  <si>
    <t>What happens step by step?</t>
  </si>
  <si>
    <t>For algorithms:</t>
  </si>
  <si>
    <t>Input → Processing → Output</t>
  </si>
  <si>
    <t>For systems:</t>
  </si>
  <si>
    <t>Client → API → Service → Database → Response</t>
  </si>
  <si>
    <t>4. Core Components</t>
  </si>
  <si>
    <t>Break the topic into pieces.</t>
  </si>
  <si>
    <t>What are the main components?</t>
  </si>
  <si>
    <t>Why does each exist?</t>
  </si>
  <si>
    <t>What happens if one is removed?</t>
  </si>
  <si>
    <t>5. Technical Terminology</t>
  </si>
  <si>
    <t>List all important technical terms.</t>
  </si>
  <si>
    <t>For each term answer</t>
  </si>
  <si>
    <t>Why is it needed?</t>
  </si>
  <si>
    <t>Where is it used?</t>
  </si>
  <si>
    <t>If you cannot explain a technical term simply, revisit it.</t>
  </si>
  <si>
    <t>6. Mathematics / Theory (when applicable)</t>
  </si>
  <si>
    <t>Don't memorize proofs.</t>
  </si>
  <si>
    <t>Understand</t>
  </si>
  <si>
    <t>Objective function</t>
  </si>
  <si>
    <t>Loss function</t>
  </si>
  <si>
    <t>Optimization</t>
  </si>
  <si>
    <t>Equations</t>
  </si>
  <si>
    <t>Complexity</t>
  </si>
  <si>
    <t>Assumptions</t>
  </si>
  <si>
    <t>For system topics, replace this with protocols, algorithms, or architectural principles.</t>
  </si>
  <si>
    <t>7. Configuration / Hyperparameters</t>
  </si>
  <si>
    <t>What can be configured?</t>
  </si>
  <si>
    <t>What does each parameter control?</t>
  </si>
  <si>
    <t>What happens if increased?</t>
  </si>
  <si>
    <t>What happens if decreased?</t>
  </si>
  <si>
    <t>For systems this becomes</t>
  </si>
  <si>
    <t>Configuration settings</t>
  </si>
  <si>
    <t>Scaling parameters</t>
  </si>
  <si>
    <t>Resource limits</t>
  </si>
  <si>
    <t>8. Strengths</t>
  </si>
  <si>
    <t>Why is this technique popular?</t>
  </si>
  <si>
    <t>Where does it perform well?</t>
  </si>
  <si>
    <t>What advantages does it provide?</t>
  </si>
  <si>
    <t>9. Weaknesses</t>
  </si>
  <si>
    <t>When does it fail?</t>
  </si>
  <si>
    <t>What are its limitations?</t>
  </si>
  <si>
    <t>What assumptions can break?</t>
  </si>
  <si>
    <t>Interviewers often focus here because it reveals depth of understanding.</t>
  </si>
  <si>
    <t>10. Comparisons</t>
  </si>
  <si>
    <t>Compare with similar concepts.</t>
  </si>
  <si>
    <t>How is it different from alternatives?</t>
  </si>
  <si>
    <t>When would you choose this?</t>
  </si>
  <si>
    <t>When would you avoid it?</t>
  </si>
  <si>
    <t>11. Practical Applications</t>
  </si>
  <si>
    <t>Where is it used in industry?</t>
  </si>
  <si>
    <t>Which companies use it?</t>
  </si>
  <si>
    <t>How have you used it?</t>
  </si>
  <si>
    <t>Always connect to one of your own projects if possible.</t>
  </si>
  <si>
    <t>12. Production Perspective</t>
  </si>
  <si>
    <t>Think like an engineer building real systems.</t>
  </si>
  <si>
    <t>How is it deployed?</t>
  </si>
  <si>
    <t>How is it monitored?</t>
  </si>
  <si>
    <t>What can fail?</t>
  </si>
  <si>
    <t>How is it scaled?</t>
  </si>
  <si>
    <t>How is it secured?</t>
  </si>
  <si>
    <t>This is where senior candidates distinguish themselves.</t>
  </si>
  <si>
    <t>13. Failure Modes</t>
  </si>
  <si>
    <t>Ask</t>
  </si>
  <si>
    <t>"What can go wrong?"</t>
  </si>
  <si>
    <t>Examples</t>
  </si>
  <si>
    <t>Performance issues</t>
  </si>
  <si>
    <t>Memory issues</t>
  </si>
  <si>
    <t>Data issues</t>
  </si>
  <si>
    <t>Incorrect predictions</t>
  </si>
  <si>
    <t>Hallucinations</t>
  </si>
  <si>
    <t>Latency</t>
  </si>
  <si>
    <t>Drift</t>
  </si>
  <si>
    <t>Race conditions</t>
  </si>
  <si>
    <t>Network failures</t>
  </si>
  <si>
    <t>Then know</t>
  </si>
  <si>
    <t>Why it happens</t>
  </si>
  <si>
    <t>How to detect it</t>
  </si>
  <si>
    <t>How to mitigate it</t>
  </si>
  <si>
    <t>14. Best Practices</t>
  </si>
  <si>
    <t>What are recommended practices?</t>
  </si>
  <si>
    <t>What mistakes do beginners make?</t>
  </si>
  <si>
    <t>How do experts use it?</t>
  </si>
  <si>
    <t>15. Interview Questions</t>
  </si>
  <si>
    <t>Prepare</t>
  </si>
  <si>
    <t>Basic</t>
  </si>
  <si>
    <t>Intermediate</t>
  </si>
  <si>
    <t>How does it work?</t>
  </si>
  <si>
    <t>Advanced</t>
  </si>
  <si>
    <t>Why?</t>
  </si>
  <si>
    <t>Expert</t>
  </si>
  <si>
    <t>Trade-offs?</t>
  </si>
  <si>
    <t>Architect</t>
  </si>
  <si>
    <t>How would you design a production system using it?</t>
  </si>
  <si>
    <t>16. Whiteboard Explanation</t>
  </si>
  <si>
    <t>Finally ask yourself</t>
  </si>
  <si>
    <t>Can I explain it on a whiteboard in five minutes?</t>
  </si>
  <si>
    <t>Include</t>
  </si>
  <si>
    <t>Architecture</t>
  </si>
  <si>
    <t>Flow</t>
  </si>
  <si>
    <t>Important equations</t>
  </si>
  <si>
    <t>Components</t>
  </si>
  <si>
    <t>Trade-offs</t>
  </si>
  <si>
    <t>17. Design Trade-offs</t>
  </si>
  <si>
    <t>For every topic, be able to answer:</t>
  </si>
  <si>
    <t>Why would I choose this over another approach?</t>
  </si>
  <si>
    <t>What am I sacrificing by choosing it?</t>
  </si>
  <si>
    <t>How does it behave at scale?</t>
  </si>
  <si>
    <t>What are the cost, latency, accuracy, and maintainability trade-offs?</t>
  </si>
  <si>
    <t>AI Foundry</t>
  </si>
  <si>
    <t>CI/CD pipeliens and ci\cd regression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</si>
</sst>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9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i/>
      <sz val="11"/>
      <name val="Carlito"/>
    </font>
    <font>
      <b/>
      <sz val="24"/>
      <name val="Carlito"/>
    </font>
    <font>
      <b/>
      <sz val="18"/>
      <name val="Carlito"/>
    </font>
    <font>
      <b/>
      <sz val="13.5"/>
      <name val="Carlito"/>
    </font>
    <font>
      <sz val="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F3EE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center"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center" wrapText="1"/>
    </xf>
    <xf numFmtId="0" fontId="3" fillId="6" borderId="0" xfId="0" applyFont="1" applyFill="1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7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0" fillId="7" borderId="0" xfId="0" applyFill="1" applyAlignment="1">
      <alignment vertical="top" wrapText="1"/>
    </xf>
    <xf numFmtId="0" fontId="4" fillId="8" borderId="0" xfId="0" applyFont="1" applyFill="1"/>
  </cellXfs>
  <cellStyles count="1">
    <cellStyle name="Normal" xfId="0" builtinId="0"/>
  </cellStyles>
  <dxfs count="3">
    <dxf>
      <fill>
        <patternFill patternType="solid">
          <bgColor rgb="FFF2F2F2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Weekly Planned Study Hours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Planned hours</c:v>
          </c:tx>
          <c:invertIfNegative val="1"/>
          <c:cat>
            <c:numRef>
              <c:f>Dashboard!$J$3:$J$23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Dashboard!$K$3:$K$23</c:f>
              <c:numCache>
                <c:formatCode>General</c:formatCode>
                <c:ptCount val="21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9-4034-9481-1EC27290D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PlanTable" displayName="DailyPlanTable" ref="A1:P112">
  <autoFilter ref="A1:P112" xr:uid="{00000000-000C-0000-FFFF-FFFF00000000}"/>
  <tableColumns count="16">
    <tableColumn id="1" xr3:uid="{00000000-0010-0000-0000-000001000000}" name="Date"/>
    <tableColumn id="2" xr3:uid="{00000000-0010-0000-0000-000002000000}" name="Day"/>
    <tableColumn id="3" xr3:uid="{00000000-0010-0000-0000-000003000000}" name="Week"/>
    <tableColumn id="4" xr3:uid="{00000000-0010-0000-0000-000004000000}" name="Module"/>
    <tableColumn id="5" xr3:uid="{00000000-0010-0000-0000-000005000000}" name="Topic / Chapter Focus"/>
    <tableColumn id="6" xr3:uid="{00000000-0010-0000-0000-000006000000}" name="Learning Objective"/>
    <tableColumn id="7" xr3:uid="{00000000-0010-0000-0000-000007000000}" name="Theory (min)"/>
    <tableColumn id="8" xr3:uid="{00000000-0010-0000-0000-000008000000}" name="Guided Learning / Coding (min)"/>
    <tableColumn id="9" xr3:uid="{00000000-0010-0000-0000-000009000000}" name="Independent Practice (min)"/>
    <tableColumn id="10" xr3:uid="{00000000-0010-0000-0000-00000A000000}" name="Revision (min)"/>
    <tableColumn id="11" xr3:uid="{00000000-0010-0000-0000-00000B000000}" name="Total (min)"/>
    <tableColumn id="12" xr3:uid="{00000000-0010-0000-0000-00000C000000}" name="Daily Deliverable"/>
    <tableColumn id="13" xr3:uid="{00000000-0010-0000-0000-00000D000000}" name="Status"/>
    <tableColumn id="14" xr3:uid="{00000000-0010-0000-0000-00000E000000}" name="Actual Hours"/>
    <tableColumn id="15" xr3:uid="{00000000-0010-0000-0000-00000F000000}" name="Notes"/>
    <tableColumn id="16" xr3:uid="{00000000-0010-0000-0000-000010000000}" name="Completion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opLeftCell="A6" workbookViewId="0">
      <selection activeCell="E16" sqref="E16"/>
    </sheetView>
  </sheetViews>
  <sheetFormatPr defaultRowHeight="13.8"/>
  <cols>
    <col min="1" max="1" width="24" customWidth="1"/>
    <col min="2" max="2" width="13" customWidth="1"/>
    <col min="3" max="3" width="32" customWidth="1"/>
    <col min="4" max="4" width="38" customWidth="1"/>
    <col min="5" max="5" width="20" customWidth="1"/>
    <col min="6" max="8" width="16" customWidth="1"/>
    <col min="10" max="10" width="10" customWidth="1"/>
    <col min="11" max="11" width="14" customWidth="1"/>
  </cols>
  <sheetData>
    <row r="1" spans="1:11" ht="24" customHeight="1">
      <c r="A1" s="19" t="s">
        <v>0</v>
      </c>
      <c r="B1" s="19"/>
      <c r="C1" s="19"/>
      <c r="D1" s="19"/>
      <c r="E1" s="19"/>
      <c r="F1" s="19"/>
      <c r="G1" s="19"/>
      <c r="H1" s="19"/>
    </row>
    <row r="2" spans="1:11">
      <c r="A2" s="1"/>
      <c r="B2" s="1"/>
      <c r="C2" s="1"/>
      <c r="D2" s="1"/>
      <c r="E2" s="1"/>
      <c r="F2" s="1"/>
      <c r="G2" s="1"/>
      <c r="H2" s="1"/>
      <c r="J2" s="9" t="s">
        <v>1</v>
      </c>
      <c r="K2" s="9" t="s">
        <v>2</v>
      </c>
    </row>
    <row r="3" spans="1:11">
      <c r="A3" s="11" t="s">
        <v>3</v>
      </c>
      <c r="B3" s="3">
        <v>46216</v>
      </c>
      <c r="C3" s="1"/>
      <c r="D3" s="10" t="s">
        <v>4</v>
      </c>
      <c r="E3" s="10" t="s">
        <v>5</v>
      </c>
      <c r="F3" s="1"/>
      <c r="G3" s="1"/>
      <c r="H3" s="1"/>
      <c r="J3" s="1">
        <v>1</v>
      </c>
      <c r="K3" s="1">
        <v>24</v>
      </c>
    </row>
    <row r="4" spans="1:11">
      <c r="A4" s="11" t="s">
        <v>6</v>
      </c>
      <c r="B4" s="3">
        <v>46361</v>
      </c>
      <c r="C4" s="1"/>
      <c r="D4" s="13" t="s">
        <v>7</v>
      </c>
      <c r="E4" s="1">
        <f>COUNTIF('Daily Plan'!M2:M112,"Completed")</f>
        <v>0</v>
      </c>
      <c r="F4" s="1"/>
      <c r="G4" s="1"/>
      <c r="H4" s="1"/>
      <c r="J4" s="1">
        <v>2</v>
      </c>
      <c r="K4" s="1">
        <v>24</v>
      </c>
    </row>
    <row r="5" spans="1:11">
      <c r="A5" s="11" t="s">
        <v>8</v>
      </c>
      <c r="B5" s="1">
        <v>126</v>
      </c>
      <c r="C5" s="1"/>
      <c r="D5" s="13" t="s">
        <v>9</v>
      </c>
      <c r="E5" s="1">
        <f>COUNTIF('Daily Plan'!M2:M112,"In Progress")</f>
        <v>0</v>
      </c>
      <c r="F5" s="1"/>
      <c r="G5" s="1"/>
      <c r="H5" s="1"/>
      <c r="J5" s="1">
        <v>3</v>
      </c>
      <c r="K5" s="1">
        <v>24</v>
      </c>
    </row>
    <row r="6" spans="1:11">
      <c r="A6" s="11" t="s">
        <v>10</v>
      </c>
      <c r="B6" s="1" t="s">
        <v>11</v>
      </c>
      <c r="C6" s="1"/>
      <c r="D6" s="13" t="s">
        <v>12</v>
      </c>
      <c r="E6" s="4">
        <f>SUM('Daily Plan'!P2:P112)/126</f>
        <v>0</v>
      </c>
      <c r="F6" s="1"/>
      <c r="G6" s="1"/>
      <c r="H6" s="1"/>
      <c r="J6" s="1">
        <v>4</v>
      </c>
      <c r="K6" s="1">
        <v>24</v>
      </c>
    </row>
    <row r="7" spans="1:11">
      <c r="A7" s="11" t="s">
        <v>13</v>
      </c>
      <c r="B7" s="1">
        <v>504</v>
      </c>
      <c r="C7" s="1"/>
      <c r="D7" s="13" t="s">
        <v>14</v>
      </c>
      <c r="E7" s="1">
        <f>SUM('Daily Plan'!N2:N112)</f>
        <v>0</v>
      </c>
      <c r="F7" s="1"/>
      <c r="G7" s="1"/>
      <c r="H7" s="1"/>
      <c r="J7" s="1">
        <v>5</v>
      </c>
      <c r="K7" s="1">
        <v>24</v>
      </c>
    </row>
    <row r="8" spans="1:11">
      <c r="A8" s="11" t="s">
        <v>15</v>
      </c>
      <c r="B8" s="1">
        <v>21</v>
      </c>
      <c r="C8" s="1"/>
      <c r="D8" s="1"/>
      <c r="E8" s="1"/>
      <c r="F8" s="1"/>
      <c r="G8" s="1"/>
      <c r="H8" s="1"/>
      <c r="J8" s="1">
        <v>6</v>
      </c>
      <c r="K8" s="1">
        <v>24</v>
      </c>
    </row>
    <row r="9" spans="1:11" ht="27.6">
      <c r="A9" s="11" t="s">
        <v>16</v>
      </c>
      <c r="B9" s="1" t="s">
        <v>17</v>
      </c>
      <c r="C9" s="1"/>
      <c r="D9" s="1"/>
      <c r="E9" s="1"/>
      <c r="F9" s="1"/>
      <c r="G9" s="1"/>
      <c r="H9" s="1"/>
      <c r="J9" s="1">
        <v>7</v>
      </c>
      <c r="K9" s="1">
        <v>24</v>
      </c>
    </row>
    <row r="10" spans="1:11">
      <c r="A10" s="1"/>
      <c r="B10" s="1"/>
      <c r="C10" s="1"/>
      <c r="D10" s="1"/>
      <c r="E10" s="1"/>
      <c r="F10" s="1"/>
      <c r="G10" s="1"/>
      <c r="H10" s="1"/>
      <c r="J10" s="1">
        <v>8</v>
      </c>
      <c r="K10" s="1">
        <v>24</v>
      </c>
    </row>
    <row r="11" spans="1:11">
      <c r="A11" s="20" t="s">
        <v>18</v>
      </c>
      <c r="B11" s="20"/>
      <c r="C11" s="20"/>
      <c r="D11" s="20"/>
      <c r="E11" s="20"/>
      <c r="F11" s="20"/>
      <c r="G11" s="20"/>
      <c r="H11" s="20"/>
      <c r="J11" s="1">
        <v>9</v>
      </c>
      <c r="K11" s="1">
        <v>24</v>
      </c>
    </row>
    <row r="12" spans="1:11" ht="31.95" customHeight="1">
      <c r="A12" s="12" t="s">
        <v>19</v>
      </c>
      <c r="B12" s="12" t="s">
        <v>20</v>
      </c>
      <c r="C12" s="12" t="s">
        <v>21</v>
      </c>
      <c r="D12" s="12" t="s">
        <v>22</v>
      </c>
      <c r="E12" s="1"/>
      <c r="F12" s="1"/>
      <c r="G12" s="1"/>
      <c r="H12" s="1"/>
      <c r="J12" s="1">
        <v>10</v>
      </c>
      <c r="K12" s="1">
        <v>24</v>
      </c>
    </row>
    <row r="13" spans="1:11" ht="31.95" customHeight="1">
      <c r="A13" s="1" t="s">
        <v>23</v>
      </c>
      <c r="B13" s="1">
        <v>80</v>
      </c>
      <c r="C13" s="1" t="s">
        <v>24</v>
      </c>
      <c r="D13" s="1" t="s">
        <v>25</v>
      </c>
      <c r="E13" s="1"/>
      <c r="F13" s="1"/>
      <c r="G13" s="1"/>
      <c r="H13" s="1"/>
      <c r="J13" s="1">
        <v>11</v>
      </c>
      <c r="K13" s="1">
        <v>24</v>
      </c>
    </row>
    <row r="14" spans="1:11" ht="31.95" customHeight="1">
      <c r="A14" s="1" t="s">
        <v>26</v>
      </c>
      <c r="B14" s="1">
        <v>95</v>
      </c>
      <c r="C14" s="1" t="s">
        <v>27</v>
      </c>
      <c r="D14" s="1" t="s">
        <v>28</v>
      </c>
      <c r="E14" s="1"/>
      <c r="F14" s="1"/>
      <c r="G14" s="1"/>
      <c r="H14" s="1"/>
      <c r="J14" s="1">
        <v>12</v>
      </c>
      <c r="K14" s="1">
        <v>24</v>
      </c>
    </row>
    <row r="15" spans="1:11" ht="31.95" customHeight="1">
      <c r="A15" s="1" t="s">
        <v>29</v>
      </c>
      <c r="B15" s="1">
        <v>45</v>
      </c>
      <c r="C15" s="1" t="s">
        <v>30</v>
      </c>
      <c r="D15" s="1" t="s">
        <v>31</v>
      </c>
      <c r="E15" s="1"/>
      <c r="F15" s="1"/>
      <c r="G15" s="1"/>
      <c r="H15" s="1"/>
      <c r="J15" s="1">
        <v>13</v>
      </c>
      <c r="K15" s="1">
        <v>24</v>
      </c>
    </row>
    <row r="16" spans="1:11" ht="31.95" customHeight="1">
      <c r="A16" s="1" t="s">
        <v>32</v>
      </c>
      <c r="B16" s="1">
        <v>20</v>
      </c>
      <c r="C16" s="1" t="s">
        <v>33</v>
      </c>
      <c r="D16" s="1" t="s">
        <v>34</v>
      </c>
      <c r="E16" s="1"/>
      <c r="F16" s="1"/>
      <c r="G16" s="1"/>
      <c r="H16" s="1"/>
      <c r="J16" s="1">
        <v>14</v>
      </c>
      <c r="K16" s="1">
        <v>24</v>
      </c>
    </row>
    <row r="17" spans="1:11">
      <c r="A17" s="1"/>
      <c r="B17" s="1"/>
      <c r="C17" s="1"/>
      <c r="D17" s="1"/>
      <c r="E17" s="1"/>
      <c r="F17" s="1"/>
      <c r="G17" s="1"/>
      <c r="H17" s="1"/>
      <c r="J17" s="1">
        <v>15</v>
      </c>
      <c r="K17" s="1">
        <v>24</v>
      </c>
    </row>
    <row r="18" spans="1:11">
      <c r="A18" s="20" t="s">
        <v>35</v>
      </c>
      <c r="B18" s="20"/>
      <c r="C18" s="20"/>
      <c r="D18" s="20"/>
      <c r="E18" s="20"/>
      <c r="F18" s="20"/>
      <c r="G18" s="20"/>
      <c r="H18" s="20"/>
      <c r="J18" s="1">
        <v>16</v>
      </c>
      <c r="K18" s="1">
        <v>24</v>
      </c>
    </row>
    <row r="19" spans="1:11">
      <c r="A19" s="21" t="s">
        <v>399</v>
      </c>
      <c r="B19" s="21"/>
      <c r="C19" s="21"/>
      <c r="D19" s="21"/>
      <c r="E19" s="21"/>
      <c r="F19" s="21"/>
      <c r="G19" s="21"/>
      <c r="H19" s="21"/>
      <c r="J19" s="1">
        <v>17</v>
      </c>
      <c r="K19" s="1">
        <v>24</v>
      </c>
    </row>
    <row r="20" spans="1:11">
      <c r="A20" s="21"/>
      <c r="B20" s="21"/>
      <c r="C20" s="21"/>
      <c r="D20" s="21"/>
      <c r="E20" s="21"/>
      <c r="F20" s="21"/>
      <c r="G20" s="21"/>
      <c r="H20" s="21"/>
      <c r="J20" s="1">
        <v>18</v>
      </c>
      <c r="K20" s="1">
        <v>24</v>
      </c>
    </row>
    <row r="21" spans="1:11">
      <c r="A21" s="21"/>
      <c r="B21" s="21"/>
      <c r="C21" s="21"/>
      <c r="D21" s="21"/>
      <c r="E21" s="21"/>
      <c r="F21" s="21"/>
      <c r="G21" s="21"/>
      <c r="H21" s="21"/>
      <c r="J21" s="1">
        <v>19</v>
      </c>
      <c r="K21" s="1">
        <v>24</v>
      </c>
    </row>
    <row r="22" spans="1:11">
      <c r="A22" s="21"/>
      <c r="B22" s="21"/>
      <c r="C22" s="21"/>
      <c r="D22" s="21"/>
      <c r="E22" s="21"/>
      <c r="F22" s="21"/>
      <c r="G22" s="21"/>
      <c r="H22" s="21"/>
      <c r="J22" s="1">
        <v>20</v>
      </c>
      <c r="K22" s="1">
        <v>24</v>
      </c>
    </row>
    <row r="23" spans="1:11">
      <c r="A23" s="21"/>
      <c r="B23" s="21"/>
      <c r="C23" s="21"/>
      <c r="D23" s="21"/>
      <c r="E23" s="21"/>
      <c r="F23" s="21"/>
      <c r="G23" s="21"/>
      <c r="H23" s="21"/>
      <c r="J23" s="1">
        <v>21</v>
      </c>
      <c r="K23" s="1">
        <v>24</v>
      </c>
    </row>
    <row r="25" spans="1:11" ht="14.4">
      <c r="J25" s="22" t="s">
        <v>36</v>
      </c>
      <c r="K25" s="22"/>
    </row>
  </sheetData>
  <mergeCells count="5">
    <mergeCell ref="A1:H1"/>
    <mergeCell ref="A11:H11"/>
    <mergeCell ref="A18:H18"/>
    <mergeCell ref="A19:H23"/>
    <mergeCell ref="J25:K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2"/>
  <sheetViews>
    <sheetView topLeftCell="A67" workbookViewId="0">
      <selection activeCell="D62" sqref="D62"/>
    </sheetView>
  </sheetViews>
  <sheetFormatPr defaultRowHeight="13.8"/>
  <cols>
    <col min="1" max="1" width="13" customWidth="1"/>
    <col min="2" max="2" width="12" customWidth="1"/>
    <col min="3" max="3" width="7" customWidth="1"/>
    <col min="4" max="4" width="28" customWidth="1"/>
    <col min="5" max="5" width="35" customWidth="1"/>
    <col min="6" max="6" width="40" customWidth="1"/>
    <col min="7" max="7" width="12" customWidth="1"/>
    <col min="8" max="8" width="20" customWidth="1"/>
    <col min="9" max="9" width="18" customWidth="1"/>
    <col min="10" max="10" width="13" customWidth="1"/>
    <col min="11" max="11" width="12" customWidth="1"/>
    <col min="12" max="12" width="42" customWidth="1"/>
    <col min="13" max="13" width="15" customWidth="1"/>
    <col min="14" max="14" width="12" customWidth="1"/>
    <col min="15" max="15" width="26" customWidth="1"/>
    <col min="16" max="16" width="13" customWidth="1"/>
  </cols>
  <sheetData>
    <row r="1" spans="1:16" ht="27.15" customHeight="1">
      <c r="A1" s="2" t="s">
        <v>37</v>
      </c>
      <c r="B1" s="2" t="s">
        <v>38</v>
      </c>
      <c r="C1" s="2" t="s">
        <v>1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</row>
    <row r="2" spans="1:16" ht="43.2" customHeight="1">
      <c r="A2" s="5">
        <v>46246</v>
      </c>
      <c r="B2" t="str">
        <f>TEXT(A2,"dddd")</f>
        <v>Wednesday</v>
      </c>
      <c r="C2" s="6">
        <v>3</v>
      </c>
      <c r="D2" s="6" t="s">
        <v>53</v>
      </c>
      <c r="E2" s="6" t="s">
        <v>54</v>
      </c>
      <c r="F2" s="6" t="s">
        <v>55</v>
      </c>
      <c r="G2" s="6">
        <v>60</v>
      </c>
      <c r="H2" s="6">
        <v>45</v>
      </c>
      <c r="I2" s="6">
        <v>45</v>
      </c>
      <c r="J2" s="6">
        <v>30</v>
      </c>
      <c r="K2" s="6">
        <v>180</v>
      </c>
      <c r="L2" s="6" t="s">
        <v>56</v>
      </c>
      <c r="M2" s="6" t="s">
        <v>52</v>
      </c>
      <c r="N2" s="7"/>
      <c r="O2" s="6"/>
      <c r="P2" s="8">
        <f t="shared" ref="P2:P16" si="0">IF(M2="Completed",1,IF(M2="In Progress",0.5,0))</f>
        <v>0</v>
      </c>
    </row>
    <row r="3" spans="1:16" ht="43.2" customHeight="1">
      <c r="A3" s="5">
        <f>A2+IF(WEEKDAY(A2,2)=6,2,1)</f>
        <v>46247</v>
      </c>
      <c r="B3" s="6" t="str">
        <f>CHOOSE(MOD(MATCH(B2,{"Monday","Tuesday","Wednesday","Thursday","Friday","Saturday"},0),6)+1,"Monday","Tuesday","Wednesday","Thursday","Friday","Saturday")</f>
        <v>Thursday</v>
      </c>
      <c r="C3" s="6">
        <v>3</v>
      </c>
      <c r="D3" s="6" t="s">
        <v>53</v>
      </c>
      <c r="E3" s="6" t="s">
        <v>57</v>
      </c>
      <c r="F3" s="6" t="s">
        <v>58</v>
      </c>
      <c r="G3" s="6">
        <v>60</v>
      </c>
      <c r="H3" s="6">
        <v>45</v>
      </c>
      <c r="I3" s="6">
        <v>45</v>
      </c>
      <c r="J3" s="6">
        <v>30</v>
      </c>
      <c r="K3" s="6">
        <v>180</v>
      </c>
      <c r="L3" s="6" t="s">
        <v>59</v>
      </c>
      <c r="M3" s="6" t="s">
        <v>52</v>
      </c>
      <c r="N3" s="7"/>
      <c r="O3" s="6"/>
      <c r="P3" s="8">
        <f t="shared" si="0"/>
        <v>0</v>
      </c>
    </row>
    <row r="4" spans="1:16" ht="43.2" customHeight="1">
      <c r="A4" s="5">
        <f t="shared" ref="A4:A67" si="1">A3+IF(WEEKDAY(A3,2)=6,2,1)</f>
        <v>46248</v>
      </c>
      <c r="B4" s="6" t="str">
        <f>CHOOSE(MOD(MATCH(B3,{"Monday","Tuesday","Wednesday","Thursday","Friday","Saturday"},0),6)+1,"Monday","Tuesday","Wednesday","Thursday","Friday","Saturday")</f>
        <v>Friday</v>
      </c>
      <c r="C4" s="6">
        <v>3</v>
      </c>
      <c r="D4" s="6" t="s">
        <v>53</v>
      </c>
      <c r="E4" s="6" t="s">
        <v>60</v>
      </c>
      <c r="F4" s="6" t="s">
        <v>61</v>
      </c>
      <c r="G4" s="6">
        <v>60</v>
      </c>
      <c r="H4" s="6">
        <v>45</v>
      </c>
      <c r="I4" s="6">
        <v>45</v>
      </c>
      <c r="J4" s="6">
        <v>30</v>
      </c>
      <c r="K4" s="6">
        <v>180</v>
      </c>
      <c r="L4" s="6" t="s">
        <v>62</v>
      </c>
      <c r="M4" s="6" t="s">
        <v>52</v>
      </c>
      <c r="N4" s="7"/>
      <c r="O4" s="6"/>
      <c r="P4" s="8">
        <f t="shared" si="0"/>
        <v>0</v>
      </c>
    </row>
    <row r="5" spans="1:16" ht="43.2" customHeight="1">
      <c r="A5" s="5">
        <f t="shared" si="1"/>
        <v>46249</v>
      </c>
      <c r="B5" s="6" t="str">
        <f>CHOOSE(MOD(MATCH(B4,{"Monday","Tuesday","Wednesday","Thursday","Friday","Saturday"},0),6)+1,"Monday","Tuesday","Wednesday","Thursday","Friday","Saturday")</f>
        <v>Saturday</v>
      </c>
      <c r="C5" s="6">
        <v>3</v>
      </c>
      <c r="D5" s="6" t="s">
        <v>53</v>
      </c>
      <c r="E5" s="6" t="s">
        <v>63</v>
      </c>
      <c r="F5" s="6" t="s">
        <v>64</v>
      </c>
      <c r="G5" s="6">
        <v>60</v>
      </c>
      <c r="H5" s="6">
        <v>45</v>
      </c>
      <c r="I5" s="6">
        <v>45</v>
      </c>
      <c r="J5" s="6">
        <v>30</v>
      </c>
      <c r="K5" s="6">
        <v>180</v>
      </c>
      <c r="L5" s="6" t="s">
        <v>65</v>
      </c>
      <c r="M5" s="6" t="s">
        <v>52</v>
      </c>
      <c r="N5" s="7"/>
      <c r="O5" s="6"/>
      <c r="P5" s="8">
        <f t="shared" si="0"/>
        <v>0</v>
      </c>
    </row>
    <row r="6" spans="1:16" ht="43.2" customHeight="1">
      <c r="A6" s="5">
        <f t="shared" si="1"/>
        <v>46251</v>
      </c>
      <c r="B6" s="6" t="str">
        <f>CHOOSE(MOD(MATCH(B5,{"Monday","Tuesday","Wednesday","Thursday","Friday","Saturday"},0),6)+1,"Monday","Tuesday","Wednesday","Thursday","Friday","Saturday")</f>
        <v>Monday</v>
      </c>
      <c r="C6" s="6">
        <v>4</v>
      </c>
      <c r="D6" s="6" t="s">
        <v>66</v>
      </c>
      <c r="E6" s="6" t="s">
        <v>67</v>
      </c>
      <c r="F6" s="6" t="s">
        <v>68</v>
      </c>
      <c r="G6" s="6">
        <v>60</v>
      </c>
      <c r="H6" s="6">
        <v>45</v>
      </c>
      <c r="I6" s="6">
        <v>45</v>
      </c>
      <c r="J6" s="6">
        <v>30</v>
      </c>
      <c r="K6" s="6">
        <v>180</v>
      </c>
      <c r="L6" s="6" t="s">
        <v>69</v>
      </c>
      <c r="M6" s="6" t="s">
        <v>52</v>
      </c>
      <c r="N6" s="7"/>
      <c r="O6" s="6"/>
      <c r="P6" s="8">
        <f t="shared" si="0"/>
        <v>0</v>
      </c>
    </row>
    <row r="7" spans="1:16" ht="43.2" customHeight="1">
      <c r="A7" s="5">
        <f t="shared" si="1"/>
        <v>46252</v>
      </c>
      <c r="B7" s="6" t="str">
        <f>CHOOSE(MOD(MATCH(B6,{"Monday","Tuesday","Wednesday","Thursday","Friday","Saturday"},0),6)+1,"Monday","Tuesday","Wednesday","Thursday","Friday","Saturday")</f>
        <v>Tuesday</v>
      </c>
      <c r="C7" s="6">
        <v>4</v>
      </c>
      <c r="D7" s="6" t="s">
        <v>66</v>
      </c>
      <c r="E7" s="6" t="s">
        <v>70</v>
      </c>
      <c r="F7" s="6" t="s">
        <v>71</v>
      </c>
      <c r="G7" s="6">
        <v>60</v>
      </c>
      <c r="H7" s="6">
        <v>45</v>
      </c>
      <c r="I7" s="6">
        <v>45</v>
      </c>
      <c r="J7" s="6">
        <v>30</v>
      </c>
      <c r="K7" s="6">
        <v>180</v>
      </c>
      <c r="L7" s="6" t="s">
        <v>72</v>
      </c>
      <c r="M7" s="6" t="s">
        <v>52</v>
      </c>
      <c r="N7" s="7"/>
      <c r="O7" s="6"/>
      <c r="P7" s="8">
        <f t="shared" si="0"/>
        <v>0</v>
      </c>
    </row>
    <row r="8" spans="1:16" ht="43.2" customHeight="1">
      <c r="A8" s="5">
        <f t="shared" si="1"/>
        <v>46253</v>
      </c>
      <c r="B8" s="6" t="str">
        <f>CHOOSE(MOD(MATCH(B7,{"Monday","Tuesday","Wednesday","Thursday","Friday","Saturday"},0),6)+1,"Monday","Tuesday","Wednesday","Thursday","Friday","Saturday")</f>
        <v>Wednesday</v>
      </c>
      <c r="C8" s="6">
        <v>4</v>
      </c>
      <c r="D8" s="6" t="s">
        <v>66</v>
      </c>
      <c r="E8" s="6" t="s">
        <v>73</v>
      </c>
      <c r="F8" s="6" t="s">
        <v>74</v>
      </c>
      <c r="G8" s="6">
        <v>60</v>
      </c>
      <c r="H8" s="6">
        <v>45</v>
      </c>
      <c r="I8" s="6">
        <v>45</v>
      </c>
      <c r="J8" s="6">
        <v>30</v>
      </c>
      <c r="K8" s="6">
        <v>180</v>
      </c>
      <c r="L8" s="6" t="s">
        <v>75</v>
      </c>
      <c r="M8" s="6" t="s">
        <v>52</v>
      </c>
      <c r="N8" s="7"/>
      <c r="O8" s="6"/>
      <c r="P8" s="8">
        <f t="shared" si="0"/>
        <v>0</v>
      </c>
    </row>
    <row r="9" spans="1:16" ht="43.2" customHeight="1">
      <c r="A9" s="5">
        <f t="shared" si="1"/>
        <v>46254</v>
      </c>
      <c r="B9" s="6" t="str">
        <f>CHOOSE(MOD(MATCH(B8,{"Monday","Tuesday","Wednesday","Thursday","Friday","Saturday"},0),6)+1,"Monday","Tuesday","Wednesday","Thursday","Friday","Saturday")</f>
        <v>Thursday</v>
      </c>
      <c r="C9" s="6">
        <v>5</v>
      </c>
      <c r="D9" s="6" t="s">
        <v>76</v>
      </c>
      <c r="E9" s="6" t="s">
        <v>77</v>
      </c>
      <c r="F9" s="6" t="s">
        <v>78</v>
      </c>
      <c r="G9" s="6">
        <v>60</v>
      </c>
      <c r="H9" s="6">
        <v>45</v>
      </c>
      <c r="I9" s="6">
        <v>45</v>
      </c>
      <c r="J9" s="6">
        <v>30</v>
      </c>
      <c r="K9" s="6">
        <v>180</v>
      </c>
      <c r="L9" s="6" t="s">
        <v>79</v>
      </c>
      <c r="M9" s="6" t="s">
        <v>52</v>
      </c>
      <c r="N9" s="7"/>
      <c r="O9" s="6"/>
      <c r="P9" s="8">
        <f t="shared" si="0"/>
        <v>0</v>
      </c>
    </row>
    <row r="10" spans="1:16" ht="43.2" customHeight="1">
      <c r="A10" s="5">
        <f t="shared" si="1"/>
        <v>46255</v>
      </c>
      <c r="B10" s="6" t="str">
        <f>CHOOSE(MOD(MATCH(B9,{"Monday","Tuesday","Wednesday","Thursday","Friday","Saturday"},0),6)+1,"Monday","Tuesday","Wednesday","Thursday","Friday","Saturday")</f>
        <v>Friday</v>
      </c>
      <c r="C10" s="6">
        <v>5</v>
      </c>
      <c r="D10" s="6" t="s">
        <v>76</v>
      </c>
      <c r="E10" s="6" t="s">
        <v>80</v>
      </c>
      <c r="F10" s="6" t="s">
        <v>81</v>
      </c>
      <c r="G10" s="6">
        <v>60</v>
      </c>
      <c r="H10" s="6">
        <v>45</v>
      </c>
      <c r="I10" s="6">
        <v>45</v>
      </c>
      <c r="J10" s="6">
        <v>30</v>
      </c>
      <c r="K10" s="6">
        <v>180</v>
      </c>
      <c r="L10" s="6" t="s">
        <v>82</v>
      </c>
      <c r="M10" s="6" t="s">
        <v>52</v>
      </c>
      <c r="N10" s="7"/>
      <c r="O10" s="6"/>
      <c r="P10" s="8">
        <f t="shared" si="0"/>
        <v>0</v>
      </c>
    </row>
    <row r="11" spans="1:16" ht="43.2" customHeight="1">
      <c r="A11" s="5">
        <f t="shared" si="1"/>
        <v>46256</v>
      </c>
      <c r="B11" s="6" t="str">
        <f>CHOOSE(MOD(MATCH(B10,{"Monday","Tuesday","Wednesday","Thursday","Friday","Saturday"},0),6)+1,"Monday","Tuesday","Wednesday","Thursday","Friday","Saturday")</f>
        <v>Saturday</v>
      </c>
      <c r="C11" s="6">
        <v>5</v>
      </c>
      <c r="D11" s="6" t="s">
        <v>76</v>
      </c>
      <c r="E11" s="6" t="s">
        <v>83</v>
      </c>
      <c r="F11" s="6" t="s">
        <v>84</v>
      </c>
      <c r="G11" s="6">
        <v>60</v>
      </c>
      <c r="H11" s="6">
        <v>45</v>
      </c>
      <c r="I11" s="6">
        <v>45</v>
      </c>
      <c r="J11" s="6">
        <v>30</v>
      </c>
      <c r="K11" s="6">
        <v>180</v>
      </c>
      <c r="L11" s="6" t="s">
        <v>85</v>
      </c>
      <c r="M11" s="6" t="s">
        <v>52</v>
      </c>
      <c r="N11" s="7"/>
      <c r="O11" s="6"/>
      <c r="P11" s="8">
        <f t="shared" si="0"/>
        <v>0</v>
      </c>
    </row>
    <row r="12" spans="1:16" ht="43.2" customHeight="1">
      <c r="A12" s="5">
        <f t="shared" si="1"/>
        <v>46258</v>
      </c>
      <c r="B12" s="6" t="str">
        <f>CHOOSE(MOD(MATCH(B11,{"Monday","Tuesday","Wednesday","Thursday","Friday","Saturday"},0),6)+1,"Monday","Tuesday","Wednesday","Thursday","Friday","Saturday")</f>
        <v>Monday</v>
      </c>
      <c r="C12" s="6">
        <v>5</v>
      </c>
      <c r="D12" s="6" t="s">
        <v>76</v>
      </c>
      <c r="E12" s="6" t="s">
        <v>86</v>
      </c>
      <c r="F12" s="6" t="s">
        <v>87</v>
      </c>
      <c r="G12" s="6">
        <v>60</v>
      </c>
      <c r="H12" s="6">
        <v>45</v>
      </c>
      <c r="I12" s="6">
        <v>45</v>
      </c>
      <c r="J12" s="6">
        <v>30</v>
      </c>
      <c r="K12" s="6">
        <v>180</v>
      </c>
      <c r="L12" s="6" t="s">
        <v>88</v>
      </c>
      <c r="M12" s="6" t="s">
        <v>52</v>
      </c>
      <c r="N12" s="7"/>
      <c r="O12" s="6"/>
      <c r="P12" s="8">
        <f t="shared" si="0"/>
        <v>0</v>
      </c>
    </row>
    <row r="13" spans="1:16" ht="43.2" customHeight="1">
      <c r="A13" s="5">
        <f t="shared" si="1"/>
        <v>46259</v>
      </c>
      <c r="B13" s="6" t="str">
        <f>CHOOSE(MOD(MATCH(B12,{"Monday","Tuesday","Wednesday","Thursday","Friday","Saturday"},0),6)+1,"Monday","Tuesday","Wednesday","Thursday","Friday","Saturday")</f>
        <v>Tuesday</v>
      </c>
      <c r="C13" s="6">
        <v>5</v>
      </c>
      <c r="D13" s="6" t="s">
        <v>76</v>
      </c>
      <c r="E13" s="6" t="s">
        <v>89</v>
      </c>
      <c r="F13" s="6" t="s">
        <v>90</v>
      </c>
      <c r="G13" s="6">
        <v>60</v>
      </c>
      <c r="H13" s="6">
        <v>45</v>
      </c>
      <c r="I13" s="6">
        <v>45</v>
      </c>
      <c r="J13" s="6">
        <v>30</v>
      </c>
      <c r="K13" s="6">
        <v>180</v>
      </c>
      <c r="L13" s="6" t="s">
        <v>91</v>
      </c>
      <c r="M13" s="6" t="s">
        <v>52</v>
      </c>
      <c r="N13" s="7"/>
      <c r="O13" s="6"/>
      <c r="P13" s="8">
        <f t="shared" si="0"/>
        <v>0</v>
      </c>
    </row>
    <row r="14" spans="1:16" ht="43.2" customHeight="1">
      <c r="A14" s="5">
        <f t="shared" si="1"/>
        <v>46260</v>
      </c>
      <c r="B14" s="6" t="str">
        <f>CHOOSE(MOD(MATCH(B13,{"Monday","Tuesday","Wednesday","Thursday","Friday","Saturday"},0),6)+1,"Monday","Tuesday","Wednesday","Thursday","Friday","Saturday")</f>
        <v>Wednesday</v>
      </c>
      <c r="C14" s="6">
        <v>5</v>
      </c>
      <c r="D14" s="6" t="s">
        <v>76</v>
      </c>
      <c r="E14" s="6" t="s">
        <v>92</v>
      </c>
      <c r="F14" s="6" t="s">
        <v>93</v>
      </c>
      <c r="G14" s="6">
        <v>60</v>
      </c>
      <c r="H14" s="6">
        <v>45</v>
      </c>
      <c r="I14" s="6">
        <v>45</v>
      </c>
      <c r="J14" s="6">
        <v>30</v>
      </c>
      <c r="K14" s="6">
        <v>180</v>
      </c>
      <c r="L14" s="6" t="s">
        <v>94</v>
      </c>
      <c r="M14" s="6" t="s">
        <v>52</v>
      </c>
      <c r="N14" s="7"/>
      <c r="O14" s="6"/>
      <c r="P14" s="8">
        <f t="shared" si="0"/>
        <v>0</v>
      </c>
    </row>
    <row r="15" spans="1:16" ht="43.2" customHeight="1">
      <c r="A15" s="5">
        <f t="shared" si="1"/>
        <v>46261</v>
      </c>
      <c r="B15" s="6" t="str">
        <f>CHOOSE(MOD(MATCH(B14,{"Monday","Tuesday","Wednesday","Thursday","Friday","Saturday"},0),6)+1,"Monday","Tuesday","Wednesday","Thursday","Friday","Saturday")</f>
        <v>Thursday</v>
      </c>
      <c r="C15" s="6">
        <v>6</v>
      </c>
      <c r="D15" s="6" t="s">
        <v>95</v>
      </c>
      <c r="E15" s="6" t="s">
        <v>96</v>
      </c>
      <c r="F15" s="6" t="s">
        <v>97</v>
      </c>
      <c r="G15" s="6">
        <v>60</v>
      </c>
      <c r="H15" s="6">
        <v>45</v>
      </c>
      <c r="I15" s="6">
        <v>45</v>
      </c>
      <c r="J15" s="6">
        <v>30</v>
      </c>
      <c r="K15" s="6">
        <v>180</v>
      </c>
      <c r="L15" s="6" t="s">
        <v>98</v>
      </c>
      <c r="M15" s="6" t="s">
        <v>52</v>
      </c>
      <c r="N15" s="7"/>
      <c r="O15" s="6"/>
      <c r="P15" s="8">
        <f t="shared" si="0"/>
        <v>0</v>
      </c>
    </row>
    <row r="16" spans="1:16" ht="43.2" customHeight="1">
      <c r="A16" s="5">
        <f t="shared" si="1"/>
        <v>46262</v>
      </c>
      <c r="B16" s="6" t="str">
        <f>CHOOSE(MOD(MATCH(B15,{"Monday","Tuesday","Wednesday","Thursday","Friday","Saturday"},0),6)+1,"Monday","Tuesday","Wednesday","Thursday","Friday","Saturday")</f>
        <v>Friday</v>
      </c>
      <c r="C16" s="6">
        <v>6</v>
      </c>
      <c r="D16" s="6" t="s">
        <v>95</v>
      </c>
      <c r="E16" s="6" t="s">
        <v>99</v>
      </c>
      <c r="F16" s="6" t="s">
        <v>100</v>
      </c>
      <c r="G16" s="6">
        <v>60</v>
      </c>
      <c r="H16" s="6">
        <v>45</v>
      </c>
      <c r="I16" s="6">
        <v>45</v>
      </c>
      <c r="J16" s="6">
        <v>30</v>
      </c>
      <c r="K16" s="6">
        <v>180</v>
      </c>
      <c r="L16" s="6" t="s">
        <v>101</v>
      </c>
      <c r="M16" s="6" t="s">
        <v>52</v>
      </c>
      <c r="N16" s="7"/>
      <c r="O16" s="6"/>
      <c r="P16" s="8">
        <f t="shared" si="0"/>
        <v>0</v>
      </c>
    </row>
    <row r="17" spans="1:16" ht="43.2" customHeight="1">
      <c r="A17" s="5">
        <f t="shared" si="1"/>
        <v>46263</v>
      </c>
      <c r="B17" s="6" t="str">
        <f>CHOOSE(MOD(MATCH(B16,{"Monday","Tuesday","Wednesday","Thursday","Friday","Saturday"},0),6)+1,"Monday","Tuesday","Wednesday","Thursday","Friday","Saturday")</f>
        <v>Saturday</v>
      </c>
      <c r="C17" s="6">
        <v>6</v>
      </c>
      <c r="D17" s="6" t="s">
        <v>95</v>
      </c>
      <c r="E17" s="6" t="s">
        <v>102</v>
      </c>
      <c r="F17" s="6" t="s">
        <v>103</v>
      </c>
      <c r="G17" s="6">
        <v>60</v>
      </c>
      <c r="H17" s="6">
        <v>45</v>
      </c>
      <c r="I17" s="6">
        <v>45</v>
      </c>
      <c r="J17" s="6">
        <v>30</v>
      </c>
      <c r="K17" s="6">
        <v>180</v>
      </c>
      <c r="L17" s="6" t="s">
        <v>104</v>
      </c>
      <c r="M17" s="6" t="s">
        <v>52</v>
      </c>
      <c r="N17" s="7"/>
      <c r="O17" s="6"/>
      <c r="P17" s="8">
        <f t="shared" ref="P17:P48" si="2">IF(M17="Completed",1,IF(M17="In Progress",0.5,0))</f>
        <v>0</v>
      </c>
    </row>
    <row r="18" spans="1:16" ht="43.2" customHeight="1">
      <c r="A18" s="5">
        <f t="shared" si="1"/>
        <v>46265</v>
      </c>
      <c r="B18" s="6" t="str">
        <f>CHOOSE(MOD(MATCH(B17,{"Monday","Tuesday","Wednesday","Thursday","Friday","Saturday"},0),6)+1,"Monday","Tuesday","Wednesday","Thursday","Friday","Saturday")</f>
        <v>Monday</v>
      </c>
      <c r="C18" s="6">
        <v>6</v>
      </c>
      <c r="D18" s="6" t="s">
        <v>95</v>
      </c>
      <c r="E18" s="6" t="s">
        <v>105</v>
      </c>
      <c r="F18" s="6" t="s">
        <v>106</v>
      </c>
      <c r="G18" s="6">
        <v>60</v>
      </c>
      <c r="H18" s="6">
        <v>45</v>
      </c>
      <c r="I18" s="6">
        <v>45</v>
      </c>
      <c r="J18" s="6">
        <v>30</v>
      </c>
      <c r="K18" s="6">
        <v>180</v>
      </c>
      <c r="L18" s="6" t="s">
        <v>107</v>
      </c>
      <c r="M18" s="6" t="s">
        <v>52</v>
      </c>
      <c r="N18" s="7"/>
      <c r="O18" s="6"/>
      <c r="P18" s="8">
        <f t="shared" si="2"/>
        <v>0</v>
      </c>
    </row>
    <row r="19" spans="1:16" ht="43.2" customHeight="1">
      <c r="A19" s="5">
        <f t="shared" si="1"/>
        <v>46266</v>
      </c>
      <c r="B19" s="6" t="str">
        <f>CHOOSE(MOD(MATCH(B18,{"Monday","Tuesday","Wednesday","Thursday","Friday","Saturday"},0),6)+1,"Monday","Tuesday","Wednesday","Thursday","Friday","Saturday")</f>
        <v>Tuesday</v>
      </c>
      <c r="C19" s="6">
        <v>6</v>
      </c>
      <c r="D19" s="6" t="s">
        <v>95</v>
      </c>
      <c r="E19" s="6" t="s">
        <v>108</v>
      </c>
      <c r="F19" s="6" t="s">
        <v>109</v>
      </c>
      <c r="G19" s="6">
        <v>60</v>
      </c>
      <c r="H19" s="6">
        <v>45</v>
      </c>
      <c r="I19" s="6">
        <v>45</v>
      </c>
      <c r="J19" s="6">
        <v>30</v>
      </c>
      <c r="K19" s="6">
        <v>180</v>
      </c>
      <c r="L19" s="6" t="s">
        <v>110</v>
      </c>
      <c r="M19" s="6" t="s">
        <v>52</v>
      </c>
      <c r="N19" s="7"/>
      <c r="O19" s="6"/>
      <c r="P19" s="8">
        <f t="shared" si="2"/>
        <v>0</v>
      </c>
    </row>
    <row r="20" spans="1:16" ht="43.2" customHeight="1">
      <c r="A20" s="5">
        <f t="shared" si="1"/>
        <v>46267</v>
      </c>
      <c r="B20" s="6" t="str">
        <f>CHOOSE(MOD(MATCH(B19,{"Monday","Tuesday","Wednesday","Thursday","Friday","Saturday"},0),6)+1,"Monday","Tuesday","Wednesday","Thursday","Friday","Saturday")</f>
        <v>Wednesday</v>
      </c>
      <c r="C20" s="6">
        <v>6</v>
      </c>
      <c r="D20" s="6" t="s">
        <v>95</v>
      </c>
      <c r="E20" s="6" t="s">
        <v>111</v>
      </c>
      <c r="F20" s="6" t="s">
        <v>112</v>
      </c>
      <c r="G20" s="6">
        <v>60</v>
      </c>
      <c r="H20" s="6">
        <v>45</v>
      </c>
      <c r="I20" s="6">
        <v>45</v>
      </c>
      <c r="J20" s="6">
        <v>30</v>
      </c>
      <c r="K20" s="6">
        <v>180</v>
      </c>
      <c r="L20" s="6" t="s">
        <v>113</v>
      </c>
      <c r="M20" s="6" t="s">
        <v>52</v>
      </c>
      <c r="N20" s="7"/>
      <c r="O20" s="6"/>
      <c r="P20" s="8">
        <f t="shared" si="2"/>
        <v>0</v>
      </c>
    </row>
    <row r="21" spans="1:16" ht="43.2" customHeight="1">
      <c r="A21" s="5">
        <f t="shared" si="1"/>
        <v>46268</v>
      </c>
      <c r="B21" s="6" t="str">
        <f>CHOOSE(MOD(MATCH(B20,{"Monday","Tuesday","Wednesday","Thursday","Friday","Saturday"},0),6)+1,"Monday","Tuesday","Wednesday","Thursday","Friday","Saturday")</f>
        <v>Thursday</v>
      </c>
      <c r="C21" s="6">
        <v>7</v>
      </c>
      <c r="D21" s="6" t="s">
        <v>114</v>
      </c>
      <c r="E21" s="6" t="s">
        <v>115</v>
      </c>
      <c r="F21" s="6" t="s">
        <v>116</v>
      </c>
      <c r="G21" s="6">
        <v>60</v>
      </c>
      <c r="H21" s="6">
        <v>45</v>
      </c>
      <c r="I21" s="6">
        <v>45</v>
      </c>
      <c r="J21" s="6">
        <v>30</v>
      </c>
      <c r="K21" s="6">
        <v>180</v>
      </c>
      <c r="L21" s="6" t="s">
        <v>117</v>
      </c>
      <c r="M21" s="6" t="s">
        <v>52</v>
      </c>
      <c r="N21" s="7"/>
      <c r="O21" s="6"/>
      <c r="P21" s="8">
        <f t="shared" si="2"/>
        <v>0</v>
      </c>
    </row>
    <row r="22" spans="1:16" ht="43.2" customHeight="1">
      <c r="A22" s="5">
        <f t="shared" si="1"/>
        <v>46269</v>
      </c>
      <c r="B22" s="6" t="str">
        <f>CHOOSE(MOD(MATCH(B21,{"Monday","Tuesday","Wednesday","Thursday","Friday","Saturday"},0),6)+1,"Monday","Tuesday","Wednesday","Thursday","Friday","Saturday")</f>
        <v>Friday</v>
      </c>
      <c r="C22" s="6">
        <v>7</v>
      </c>
      <c r="D22" s="6" t="s">
        <v>114</v>
      </c>
      <c r="E22" s="6" t="s">
        <v>118</v>
      </c>
      <c r="F22" s="6" t="s">
        <v>119</v>
      </c>
      <c r="G22" s="6">
        <v>60</v>
      </c>
      <c r="H22" s="6">
        <v>45</v>
      </c>
      <c r="I22" s="6">
        <v>45</v>
      </c>
      <c r="J22" s="6">
        <v>30</v>
      </c>
      <c r="K22" s="6">
        <v>180</v>
      </c>
      <c r="L22" s="6" t="s">
        <v>120</v>
      </c>
      <c r="M22" s="6" t="s">
        <v>52</v>
      </c>
      <c r="N22" s="7"/>
      <c r="O22" s="6"/>
      <c r="P22" s="8">
        <f t="shared" si="2"/>
        <v>0</v>
      </c>
    </row>
    <row r="23" spans="1:16" ht="43.2" customHeight="1">
      <c r="A23" s="5">
        <f t="shared" si="1"/>
        <v>46270</v>
      </c>
      <c r="B23" s="6" t="str">
        <f>CHOOSE(MOD(MATCH(B22,{"Monday","Tuesday","Wednesday","Thursday","Friday","Saturday"},0),6)+1,"Monday","Tuesday","Wednesday","Thursday","Friday","Saturday")</f>
        <v>Saturday</v>
      </c>
      <c r="C23" s="6">
        <v>7</v>
      </c>
      <c r="D23" s="6" t="s">
        <v>114</v>
      </c>
      <c r="E23" s="6" t="s">
        <v>121</v>
      </c>
      <c r="F23" s="6" t="s">
        <v>122</v>
      </c>
      <c r="G23" s="6">
        <v>60</v>
      </c>
      <c r="H23" s="6">
        <v>45</v>
      </c>
      <c r="I23" s="6">
        <v>45</v>
      </c>
      <c r="J23" s="6">
        <v>30</v>
      </c>
      <c r="K23" s="6">
        <v>180</v>
      </c>
      <c r="L23" s="6" t="s">
        <v>123</v>
      </c>
      <c r="M23" s="6" t="s">
        <v>52</v>
      </c>
      <c r="N23" s="7"/>
      <c r="O23" s="6"/>
      <c r="P23" s="8">
        <f t="shared" si="2"/>
        <v>0</v>
      </c>
    </row>
    <row r="24" spans="1:16" ht="43.2" customHeight="1">
      <c r="A24" s="5">
        <f t="shared" si="1"/>
        <v>46272</v>
      </c>
      <c r="B24" s="6" t="str">
        <f>CHOOSE(MOD(MATCH(B23,{"Monday","Tuesday","Wednesday","Thursday","Friday","Saturday"},0),6)+1,"Monday","Tuesday","Wednesday","Thursday","Friday","Saturday")</f>
        <v>Monday</v>
      </c>
      <c r="C24" s="6">
        <v>7</v>
      </c>
      <c r="D24" s="6" t="s">
        <v>114</v>
      </c>
      <c r="E24" s="6" t="s">
        <v>124</v>
      </c>
      <c r="F24" s="6" t="s">
        <v>125</v>
      </c>
      <c r="G24" s="6">
        <v>60</v>
      </c>
      <c r="H24" s="6">
        <v>45</v>
      </c>
      <c r="I24" s="6">
        <v>45</v>
      </c>
      <c r="J24" s="6">
        <v>30</v>
      </c>
      <c r="K24" s="6">
        <v>180</v>
      </c>
      <c r="L24" s="6" t="s">
        <v>126</v>
      </c>
      <c r="M24" s="6" t="s">
        <v>52</v>
      </c>
      <c r="N24" s="7"/>
      <c r="O24" s="6"/>
      <c r="P24" s="8">
        <f t="shared" si="2"/>
        <v>0</v>
      </c>
    </row>
    <row r="25" spans="1:16" ht="43.2" customHeight="1">
      <c r="A25" s="5">
        <f t="shared" si="1"/>
        <v>46273</v>
      </c>
      <c r="B25" s="6" t="str">
        <f>CHOOSE(MOD(MATCH(B24,{"Monday","Tuesday","Wednesday","Thursday","Friday","Saturday"},0),6)+1,"Monday","Tuesday","Wednesday","Thursday","Friday","Saturday")</f>
        <v>Tuesday</v>
      </c>
      <c r="C25" s="6">
        <v>7</v>
      </c>
      <c r="D25" s="6" t="s">
        <v>114</v>
      </c>
      <c r="E25" s="6" t="s">
        <v>127</v>
      </c>
      <c r="F25" s="6" t="s">
        <v>128</v>
      </c>
      <c r="G25" s="6">
        <v>60</v>
      </c>
      <c r="H25" s="6">
        <v>45</v>
      </c>
      <c r="I25" s="6">
        <v>45</v>
      </c>
      <c r="J25" s="6">
        <v>30</v>
      </c>
      <c r="K25" s="6">
        <v>180</v>
      </c>
      <c r="L25" s="6" t="s">
        <v>129</v>
      </c>
      <c r="M25" s="6" t="s">
        <v>52</v>
      </c>
      <c r="N25" s="7"/>
      <c r="O25" s="6"/>
      <c r="P25" s="8">
        <f t="shared" si="2"/>
        <v>0</v>
      </c>
    </row>
    <row r="26" spans="1:16" ht="43.2" customHeight="1">
      <c r="A26" s="5">
        <f t="shared" si="1"/>
        <v>46274</v>
      </c>
      <c r="B26" s="6" t="str">
        <f>CHOOSE(MOD(MATCH(B25,{"Monday","Tuesday","Wednesday","Thursday","Friday","Saturday"},0),6)+1,"Monday","Tuesday","Wednesday","Thursday","Friday","Saturday")</f>
        <v>Wednesday</v>
      </c>
      <c r="C26" s="6">
        <v>7</v>
      </c>
      <c r="D26" s="6" t="s">
        <v>114</v>
      </c>
      <c r="E26" s="6" t="s">
        <v>130</v>
      </c>
      <c r="F26" s="6" t="s">
        <v>131</v>
      </c>
      <c r="G26" s="6">
        <v>60</v>
      </c>
      <c r="H26" s="6">
        <v>45</v>
      </c>
      <c r="I26" s="6">
        <v>45</v>
      </c>
      <c r="J26" s="6">
        <v>30</v>
      </c>
      <c r="K26" s="6">
        <v>180</v>
      </c>
      <c r="L26" s="6" t="s">
        <v>132</v>
      </c>
      <c r="M26" s="6" t="s">
        <v>52</v>
      </c>
      <c r="N26" s="7"/>
      <c r="O26" s="6"/>
      <c r="P26" s="8">
        <f t="shared" si="2"/>
        <v>0</v>
      </c>
    </row>
    <row r="27" spans="1:16" ht="43.2" customHeight="1">
      <c r="A27" s="5">
        <f t="shared" si="1"/>
        <v>46275</v>
      </c>
      <c r="B27" s="6" t="str">
        <f>CHOOSE(MOD(MATCH(B26,{"Monday","Tuesday","Wednesday","Thursday","Friday","Saturday"},0),6)+1,"Monday","Tuesday","Wednesday","Thursday","Friday","Saturday")</f>
        <v>Thursday</v>
      </c>
      <c r="C27" s="6">
        <v>8</v>
      </c>
      <c r="D27" s="6" t="s">
        <v>133</v>
      </c>
      <c r="E27" s="6" t="s">
        <v>134</v>
      </c>
      <c r="F27" s="6" t="s">
        <v>135</v>
      </c>
      <c r="G27" s="6">
        <v>60</v>
      </c>
      <c r="H27" s="6">
        <v>45</v>
      </c>
      <c r="I27" s="6">
        <v>45</v>
      </c>
      <c r="J27" s="6">
        <v>30</v>
      </c>
      <c r="K27" s="6">
        <v>180</v>
      </c>
      <c r="L27" s="6" t="s">
        <v>136</v>
      </c>
      <c r="M27" s="6" t="s">
        <v>52</v>
      </c>
      <c r="N27" s="7"/>
      <c r="O27" s="6"/>
      <c r="P27" s="8">
        <f t="shared" si="2"/>
        <v>0</v>
      </c>
    </row>
    <row r="28" spans="1:16" ht="43.2" customHeight="1">
      <c r="A28" s="5">
        <f t="shared" si="1"/>
        <v>46276</v>
      </c>
      <c r="B28" s="6" t="str">
        <f>CHOOSE(MOD(MATCH(B27,{"Monday","Tuesday","Wednesday","Thursday","Friday","Saturday"},0),6)+1,"Monday","Tuesday","Wednesday","Thursday","Friday","Saturday")</f>
        <v>Friday</v>
      </c>
      <c r="C28" s="6">
        <v>8</v>
      </c>
      <c r="D28" s="6" t="s">
        <v>133</v>
      </c>
      <c r="E28" s="6" t="s">
        <v>137</v>
      </c>
      <c r="F28" s="6" t="s">
        <v>138</v>
      </c>
      <c r="G28" s="6">
        <v>60</v>
      </c>
      <c r="H28" s="6">
        <v>45</v>
      </c>
      <c r="I28" s="6">
        <v>45</v>
      </c>
      <c r="J28" s="6">
        <v>30</v>
      </c>
      <c r="K28" s="6">
        <v>180</v>
      </c>
      <c r="L28" s="6" t="s">
        <v>139</v>
      </c>
      <c r="M28" s="6" t="s">
        <v>52</v>
      </c>
      <c r="N28" s="7"/>
      <c r="O28" s="6"/>
      <c r="P28" s="8">
        <f t="shared" si="2"/>
        <v>0</v>
      </c>
    </row>
    <row r="29" spans="1:16" ht="43.2" customHeight="1">
      <c r="A29" s="5">
        <f t="shared" si="1"/>
        <v>46277</v>
      </c>
      <c r="B29" s="6" t="str">
        <f>CHOOSE(MOD(MATCH(B28,{"Monday","Tuesday","Wednesday","Thursday","Friday","Saturday"},0),6)+1,"Monday","Tuesday","Wednesday","Thursday","Friday","Saturday")</f>
        <v>Saturday</v>
      </c>
      <c r="C29" s="6">
        <v>8</v>
      </c>
      <c r="D29" s="6" t="s">
        <v>133</v>
      </c>
      <c r="E29" s="6" t="s">
        <v>140</v>
      </c>
      <c r="F29" s="6" t="s">
        <v>141</v>
      </c>
      <c r="G29" s="6">
        <v>60</v>
      </c>
      <c r="H29" s="6">
        <v>45</v>
      </c>
      <c r="I29" s="6">
        <v>45</v>
      </c>
      <c r="J29" s="6">
        <v>30</v>
      </c>
      <c r="K29" s="6">
        <v>180</v>
      </c>
      <c r="L29" s="6" t="s">
        <v>142</v>
      </c>
      <c r="M29" s="6" t="s">
        <v>52</v>
      </c>
      <c r="N29" s="7"/>
      <c r="O29" s="6"/>
      <c r="P29" s="8">
        <f t="shared" si="2"/>
        <v>0</v>
      </c>
    </row>
    <row r="30" spans="1:16" ht="43.2" customHeight="1">
      <c r="A30" s="5">
        <f t="shared" si="1"/>
        <v>46279</v>
      </c>
      <c r="B30" s="6" t="str">
        <f>CHOOSE(MOD(MATCH(B29,{"Monday","Tuesday","Wednesday","Thursday","Friday","Saturday"},0),6)+1,"Monday","Tuesday","Wednesday","Thursday","Friday","Saturday")</f>
        <v>Monday</v>
      </c>
      <c r="C30" s="6">
        <v>8</v>
      </c>
      <c r="D30" s="6" t="s">
        <v>133</v>
      </c>
      <c r="E30" s="6" t="s">
        <v>143</v>
      </c>
      <c r="F30" s="6" t="s">
        <v>144</v>
      </c>
      <c r="G30" s="6">
        <v>60</v>
      </c>
      <c r="H30" s="6">
        <v>45</v>
      </c>
      <c r="I30" s="6">
        <v>45</v>
      </c>
      <c r="J30" s="6">
        <v>30</v>
      </c>
      <c r="K30" s="6">
        <v>180</v>
      </c>
      <c r="L30" s="6" t="s">
        <v>145</v>
      </c>
      <c r="M30" s="6" t="s">
        <v>52</v>
      </c>
      <c r="N30" s="7"/>
      <c r="O30" s="6"/>
      <c r="P30" s="8">
        <f t="shared" si="2"/>
        <v>0</v>
      </c>
    </row>
    <row r="31" spans="1:16" ht="43.2" customHeight="1">
      <c r="A31" s="5">
        <f t="shared" si="1"/>
        <v>46280</v>
      </c>
      <c r="B31" s="6" t="str">
        <f>CHOOSE(MOD(MATCH(B30,{"Monday","Tuesday","Wednesday","Thursday","Friday","Saturday"},0),6)+1,"Monday","Tuesday","Wednesday","Thursday","Friday","Saturday")</f>
        <v>Tuesday</v>
      </c>
      <c r="C31" s="6">
        <v>8</v>
      </c>
      <c r="D31" s="6" t="s">
        <v>133</v>
      </c>
      <c r="E31" s="6" t="s">
        <v>146</v>
      </c>
      <c r="F31" s="6" t="s">
        <v>147</v>
      </c>
      <c r="G31" s="6">
        <v>60</v>
      </c>
      <c r="H31" s="6">
        <v>45</v>
      </c>
      <c r="I31" s="6">
        <v>45</v>
      </c>
      <c r="J31" s="6">
        <v>30</v>
      </c>
      <c r="K31" s="6">
        <v>180</v>
      </c>
      <c r="L31" s="6" t="s">
        <v>148</v>
      </c>
      <c r="M31" s="6" t="s">
        <v>52</v>
      </c>
      <c r="N31" s="7"/>
      <c r="O31" s="6"/>
      <c r="P31" s="8">
        <f t="shared" si="2"/>
        <v>0</v>
      </c>
    </row>
    <row r="32" spans="1:16" ht="43.2" customHeight="1">
      <c r="A32" s="5">
        <f t="shared" si="1"/>
        <v>46281</v>
      </c>
      <c r="B32" s="6" t="str">
        <f>CHOOSE(MOD(MATCH(B31,{"Monday","Tuesday","Wednesday","Thursday","Friday","Saturday"},0),6)+1,"Monday","Tuesday","Wednesday","Thursday","Friday","Saturday")</f>
        <v>Wednesday</v>
      </c>
      <c r="C32" s="6">
        <v>8</v>
      </c>
      <c r="D32" s="6" t="s">
        <v>133</v>
      </c>
      <c r="E32" s="6" t="s">
        <v>149</v>
      </c>
      <c r="F32" s="6" t="s">
        <v>150</v>
      </c>
      <c r="G32" s="6">
        <v>60</v>
      </c>
      <c r="H32" s="6">
        <v>45</v>
      </c>
      <c r="I32" s="6">
        <v>45</v>
      </c>
      <c r="J32" s="6">
        <v>30</v>
      </c>
      <c r="K32" s="6">
        <v>180</v>
      </c>
      <c r="L32" s="6" t="s">
        <v>151</v>
      </c>
      <c r="M32" s="6" t="s">
        <v>52</v>
      </c>
      <c r="N32" s="7"/>
      <c r="O32" s="6"/>
      <c r="P32" s="8">
        <f t="shared" si="2"/>
        <v>0</v>
      </c>
    </row>
    <row r="33" spans="1:16" ht="43.2" customHeight="1">
      <c r="A33" s="5">
        <f t="shared" si="1"/>
        <v>46282</v>
      </c>
      <c r="B33" s="6" t="str">
        <f>CHOOSE(MOD(MATCH(B32,{"Monday","Tuesday","Wednesday","Thursday","Friday","Saturday"},0),6)+1,"Monday","Tuesday","Wednesday","Thursday","Friday","Saturday")</f>
        <v>Thursday</v>
      </c>
      <c r="C33" s="6">
        <v>9</v>
      </c>
      <c r="D33" s="6" t="s">
        <v>152</v>
      </c>
      <c r="E33" s="6" t="s">
        <v>153</v>
      </c>
      <c r="F33" s="6" t="s">
        <v>154</v>
      </c>
      <c r="G33" s="6">
        <v>60</v>
      </c>
      <c r="H33" s="6">
        <v>45</v>
      </c>
      <c r="I33" s="6">
        <v>45</v>
      </c>
      <c r="J33" s="6">
        <v>30</v>
      </c>
      <c r="K33" s="6">
        <v>180</v>
      </c>
      <c r="L33" s="6" t="s">
        <v>155</v>
      </c>
      <c r="M33" s="6" t="s">
        <v>52</v>
      </c>
      <c r="N33" s="7"/>
      <c r="O33" s="6"/>
      <c r="P33" s="8">
        <f t="shared" si="2"/>
        <v>0</v>
      </c>
    </row>
    <row r="34" spans="1:16" ht="43.2" customHeight="1">
      <c r="A34" s="5">
        <f t="shared" si="1"/>
        <v>46283</v>
      </c>
      <c r="B34" s="6" t="str">
        <f>CHOOSE(MOD(MATCH(B33,{"Monday","Tuesday","Wednesday","Thursday","Friday","Saturday"},0),6)+1,"Monday","Tuesday","Wednesday","Thursday","Friday","Saturday")</f>
        <v>Friday</v>
      </c>
      <c r="C34" s="6">
        <v>9</v>
      </c>
      <c r="D34" s="6" t="s">
        <v>152</v>
      </c>
      <c r="E34" s="6" t="s">
        <v>156</v>
      </c>
      <c r="F34" s="6" t="s">
        <v>157</v>
      </c>
      <c r="G34" s="6">
        <v>60</v>
      </c>
      <c r="H34" s="6">
        <v>45</v>
      </c>
      <c r="I34" s="6">
        <v>45</v>
      </c>
      <c r="J34" s="6">
        <v>30</v>
      </c>
      <c r="K34" s="6">
        <v>180</v>
      </c>
      <c r="L34" s="6" t="s">
        <v>158</v>
      </c>
      <c r="M34" s="6" t="s">
        <v>52</v>
      </c>
      <c r="N34" s="7"/>
      <c r="O34" s="6"/>
      <c r="P34" s="8">
        <f t="shared" si="2"/>
        <v>0</v>
      </c>
    </row>
    <row r="35" spans="1:16" ht="43.2" customHeight="1">
      <c r="A35" s="5">
        <f t="shared" si="1"/>
        <v>46284</v>
      </c>
      <c r="B35" s="6" t="str">
        <f>CHOOSE(MOD(MATCH(B34,{"Monday","Tuesday","Wednesday","Thursday","Friday","Saturday"},0),6)+1,"Monday","Tuesday","Wednesday","Thursday","Friday","Saturday")</f>
        <v>Saturday</v>
      </c>
      <c r="C35" s="6">
        <v>9</v>
      </c>
      <c r="D35" s="6" t="s">
        <v>152</v>
      </c>
      <c r="E35" s="6" t="s">
        <v>159</v>
      </c>
      <c r="F35" s="6" t="s">
        <v>160</v>
      </c>
      <c r="G35" s="6">
        <v>60</v>
      </c>
      <c r="H35" s="6">
        <v>45</v>
      </c>
      <c r="I35" s="6">
        <v>45</v>
      </c>
      <c r="J35" s="6">
        <v>30</v>
      </c>
      <c r="K35" s="6">
        <v>180</v>
      </c>
      <c r="L35" s="6" t="s">
        <v>161</v>
      </c>
      <c r="M35" s="6" t="s">
        <v>52</v>
      </c>
      <c r="N35" s="7"/>
      <c r="O35" s="6"/>
      <c r="P35" s="8">
        <f t="shared" si="2"/>
        <v>0</v>
      </c>
    </row>
    <row r="36" spans="1:16" ht="43.2" customHeight="1">
      <c r="A36" s="5">
        <f t="shared" si="1"/>
        <v>46286</v>
      </c>
      <c r="B36" s="6" t="str">
        <f>CHOOSE(MOD(MATCH(B35,{"Monday","Tuesday","Wednesday","Thursday","Friday","Saturday"},0),6)+1,"Monday","Tuesday","Wednesday","Thursday","Friday","Saturday")</f>
        <v>Monday</v>
      </c>
      <c r="C36" s="6">
        <v>9</v>
      </c>
      <c r="D36" s="6" t="s">
        <v>152</v>
      </c>
      <c r="E36" s="6" t="s">
        <v>162</v>
      </c>
      <c r="F36" s="6" t="s">
        <v>163</v>
      </c>
      <c r="G36" s="6">
        <v>60</v>
      </c>
      <c r="H36" s="6">
        <v>45</v>
      </c>
      <c r="I36" s="6">
        <v>45</v>
      </c>
      <c r="J36" s="6">
        <v>30</v>
      </c>
      <c r="K36" s="6">
        <v>180</v>
      </c>
      <c r="L36" s="6" t="s">
        <v>164</v>
      </c>
      <c r="M36" s="6" t="s">
        <v>52</v>
      </c>
      <c r="N36" s="7"/>
      <c r="O36" s="6"/>
      <c r="P36" s="8">
        <f t="shared" si="2"/>
        <v>0</v>
      </c>
    </row>
    <row r="37" spans="1:16" ht="43.2" customHeight="1">
      <c r="A37" s="5">
        <f t="shared" si="1"/>
        <v>46287</v>
      </c>
      <c r="B37" s="6" t="str">
        <f>CHOOSE(MOD(MATCH(B36,{"Monday","Tuesday","Wednesday","Thursday","Friday","Saturday"},0),6)+1,"Monday","Tuesday","Wednesday","Thursday","Friday","Saturday")</f>
        <v>Tuesday</v>
      </c>
      <c r="C37" s="6">
        <v>9</v>
      </c>
      <c r="D37" s="6" t="s">
        <v>152</v>
      </c>
      <c r="E37" s="6" t="s">
        <v>165</v>
      </c>
      <c r="F37" s="6" t="s">
        <v>166</v>
      </c>
      <c r="G37" s="6">
        <v>60</v>
      </c>
      <c r="H37" s="6">
        <v>45</v>
      </c>
      <c r="I37" s="6">
        <v>45</v>
      </c>
      <c r="J37" s="6">
        <v>30</v>
      </c>
      <c r="K37" s="6">
        <v>180</v>
      </c>
      <c r="L37" s="6" t="s">
        <v>167</v>
      </c>
      <c r="M37" s="6" t="s">
        <v>52</v>
      </c>
      <c r="N37" s="7"/>
      <c r="O37" s="6"/>
      <c r="P37" s="8">
        <f t="shared" si="2"/>
        <v>0</v>
      </c>
    </row>
    <row r="38" spans="1:16" ht="43.2" customHeight="1">
      <c r="A38" s="5">
        <f t="shared" si="1"/>
        <v>46288</v>
      </c>
      <c r="B38" s="6" t="str">
        <f>CHOOSE(MOD(MATCH(B37,{"Monday","Tuesday","Wednesday","Thursday","Friday","Saturday"},0),6)+1,"Monday","Tuesday","Wednesday","Thursday","Friday","Saturday")</f>
        <v>Wednesday</v>
      </c>
      <c r="C38" s="6">
        <v>9</v>
      </c>
      <c r="D38" s="6" t="s">
        <v>152</v>
      </c>
      <c r="E38" s="6" t="s">
        <v>168</v>
      </c>
      <c r="F38" s="6" t="s">
        <v>169</v>
      </c>
      <c r="G38" s="6">
        <v>60</v>
      </c>
      <c r="H38" s="6">
        <v>45</v>
      </c>
      <c r="I38" s="6">
        <v>45</v>
      </c>
      <c r="J38" s="6">
        <v>30</v>
      </c>
      <c r="K38" s="6">
        <v>180</v>
      </c>
      <c r="L38" s="6" t="s">
        <v>170</v>
      </c>
      <c r="M38" s="6" t="s">
        <v>52</v>
      </c>
      <c r="N38" s="7"/>
      <c r="O38" s="6"/>
      <c r="P38" s="8">
        <f t="shared" si="2"/>
        <v>0</v>
      </c>
    </row>
    <row r="39" spans="1:16" ht="43.2" customHeight="1">
      <c r="A39" s="5">
        <f t="shared" si="1"/>
        <v>46289</v>
      </c>
      <c r="B39" s="6" t="str">
        <f>CHOOSE(MOD(MATCH(B38,{"Monday","Tuesday","Wednesday","Thursday","Friday","Saturday"},0),6)+1,"Monday","Tuesday","Wednesday","Thursday","Friday","Saturday")</f>
        <v>Thursday</v>
      </c>
      <c r="C39" s="6">
        <v>10</v>
      </c>
      <c r="D39" s="6" t="s">
        <v>171</v>
      </c>
      <c r="E39" s="6" t="s">
        <v>172</v>
      </c>
      <c r="F39" s="6" t="s">
        <v>173</v>
      </c>
      <c r="G39" s="6">
        <v>60</v>
      </c>
      <c r="H39" s="6">
        <v>45</v>
      </c>
      <c r="I39" s="6">
        <v>45</v>
      </c>
      <c r="J39" s="6">
        <v>30</v>
      </c>
      <c r="K39" s="6">
        <v>180</v>
      </c>
      <c r="L39" s="6" t="s">
        <v>174</v>
      </c>
      <c r="M39" s="6" t="s">
        <v>52</v>
      </c>
      <c r="N39" s="7"/>
      <c r="O39" s="6"/>
      <c r="P39" s="8">
        <f t="shared" si="2"/>
        <v>0</v>
      </c>
    </row>
    <row r="40" spans="1:16" ht="43.2" customHeight="1">
      <c r="A40" s="5">
        <f t="shared" si="1"/>
        <v>46290</v>
      </c>
      <c r="B40" s="6" t="str">
        <f>CHOOSE(MOD(MATCH(B39,{"Monday","Tuesday","Wednesday","Thursday","Friday","Saturday"},0),6)+1,"Monday","Tuesday","Wednesday","Thursday","Friday","Saturday")</f>
        <v>Friday</v>
      </c>
      <c r="C40" s="6">
        <v>10</v>
      </c>
      <c r="D40" s="6" t="s">
        <v>171</v>
      </c>
      <c r="E40" s="6" t="s">
        <v>175</v>
      </c>
      <c r="F40" s="6" t="s">
        <v>176</v>
      </c>
      <c r="G40" s="6">
        <v>60</v>
      </c>
      <c r="H40" s="6">
        <v>45</v>
      </c>
      <c r="I40" s="6">
        <v>45</v>
      </c>
      <c r="J40" s="6">
        <v>30</v>
      </c>
      <c r="K40" s="6">
        <v>180</v>
      </c>
      <c r="L40" s="6" t="s">
        <v>177</v>
      </c>
      <c r="M40" s="6" t="s">
        <v>52</v>
      </c>
      <c r="N40" s="7"/>
      <c r="O40" s="6"/>
      <c r="P40" s="8">
        <f t="shared" si="2"/>
        <v>0</v>
      </c>
    </row>
    <row r="41" spans="1:16" ht="43.2" customHeight="1">
      <c r="A41" s="5">
        <f t="shared" si="1"/>
        <v>46291</v>
      </c>
      <c r="B41" s="6" t="str">
        <f>CHOOSE(MOD(MATCH(B40,{"Monday","Tuesday","Wednesday","Thursday","Friday","Saturday"},0),6)+1,"Monday","Tuesday","Wednesday","Thursday","Friday","Saturday")</f>
        <v>Saturday</v>
      </c>
      <c r="C41" s="6">
        <v>10</v>
      </c>
      <c r="D41" s="6" t="s">
        <v>171</v>
      </c>
      <c r="E41" s="6" t="s">
        <v>178</v>
      </c>
      <c r="F41" s="6" t="s">
        <v>179</v>
      </c>
      <c r="G41" s="6">
        <v>60</v>
      </c>
      <c r="H41" s="6">
        <v>45</v>
      </c>
      <c r="I41" s="6">
        <v>45</v>
      </c>
      <c r="J41" s="6">
        <v>30</v>
      </c>
      <c r="K41" s="6">
        <v>180</v>
      </c>
      <c r="L41" s="6" t="s">
        <v>180</v>
      </c>
      <c r="M41" s="6" t="s">
        <v>52</v>
      </c>
      <c r="N41" s="7"/>
      <c r="O41" s="6"/>
      <c r="P41" s="8">
        <f t="shared" si="2"/>
        <v>0</v>
      </c>
    </row>
    <row r="42" spans="1:16" ht="43.2" customHeight="1">
      <c r="A42" s="5">
        <f t="shared" si="1"/>
        <v>46293</v>
      </c>
      <c r="B42" s="6" t="str">
        <f>CHOOSE(MOD(MATCH(B41,{"Monday","Tuesday","Wednesday","Thursday","Friday","Saturday"},0),6)+1,"Monday","Tuesday","Wednesday","Thursday","Friday","Saturday")</f>
        <v>Monday</v>
      </c>
      <c r="C42" s="6">
        <v>10</v>
      </c>
      <c r="D42" s="6" t="s">
        <v>171</v>
      </c>
      <c r="E42" s="6" t="s">
        <v>181</v>
      </c>
      <c r="F42" s="6" t="s">
        <v>182</v>
      </c>
      <c r="G42" s="6">
        <v>60</v>
      </c>
      <c r="H42" s="6">
        <v>45</v>
      </c>
      <c r="I42" s="6">
        <v>45</v>
      </c>
      <c r="J42" s="6">
        <v>30</v>
      </c>
      <c r="K42" s="6">
        <v>180</v>
      </c>
      <c r="L42" s="6" t="s">
        <v>183</v>
      </c>
      <c r="M42" s="6" t="s">
        <v>52</v>
      </c>
      <c r="N42" s="7"/>
      <c r="O42" s="6"/>
      <c r="P42" s="8">
        <f t="shared" si="2"/>
        <v>0</v>
      </c>
    </row>
    <row r="43" spans="1:16" ht="43.2" customHeight="1">
      <c r="A43" s="5">
        <f t="shared" si="1"/>
        <v>46294</v>
      </c>
      <c r="B43" s="6" t="str">
        <f>CHOOSE(MOD(MATCH(B42,{"Monday","Tuesday","Wednesday","Thursday","Friday","Saturday"},0),6)+1,"Monday","Tuesday","Wednesday","Thursday","Friday","Saturday")</f>
        <v>Tuesday</v>
      </c>
      <c r="C43" s="6">
        <v>10</v>
      </c>
      <c r="D43" s="6" t="s">
        <v>171</v>
      </c>
      <c r="E43" s="6" t="s">
        <v>184</v>
      </c>
      <c r="F43" s="6" t="s">
        <v>185</v>
      </c>
      <c r="G43" s="6">
        <v>60</v>
      </c>
      <c r="H43" s="6">
        <v>45</v>
      </c>
      <c r="I43" s="6">
        <v>45</v>
      </c>
      <c r="J43" s="6">
        <v>30</v>
      </c>
      <c r="K43" s="6">
        <v>180</v>
      </c>
      <c r="L43" s="6" t="s">
        <v>186</v>
      </c>
      <c r="M43" s="6" t="s">
        <v>52</v>
      </c>
      <c r="N43" s="7"/>
      <c r="O43" s="6"/>
      <c r="P43" s="8">
        <f t="shared" si="2"/>
        <v>0</v>
      </c>
    </row>
    <row r="44" spans="1:16" ht="43.2" customHeight="1">
      <c r="A44" s="5">
        <f t="shared" si="1"/>
        <v>46295</v>
      </c>
      <c r="B44" s="6" t="str">
        <f>CHOOSE(MOD(MATCH(B43,{"Monday","Tuesday","Wednesday","Thursday","Friday","Saturday"},0),6)+1,"Monday","Tuesday","Wednesday","Thursday","Friday","Saturday")</f>
        <v>Wednesday</v>
      </c>
      <c r="C44" s="6">
        <v>10</v>
      </c>
      <c r="D44" s="6" t="s">
        <v>171</v>
      </c>
      <c r="E44" s="6" t="s">
        <v>187</v>
      </c>
      <c r="F44" s="6" t="s">
        <v>188</v>
      </c>
      <c r="G44" s="6">
        <v>60</v>
      </c>
      <c r="H44" s="6">
        <v>45</v>
      </c>
      <c r="I44" s="6">
        <v>45</v>
      </c>
      <c r="J44" s="6">
        <v>30</v>
      </c>
      <c r="K44" s="6">
        <v>180</v>
      </c>
      <c r="L44" s="6" t="s">
        <v>189</v>
      </c>
      <c r="M44" s="6" t="s">
        <v>52</v>
      </c>
      <c r="N44" s="7"/>
      <c r="O44" s="6"/>
      <c r="P44" s="8">
        <f t="shared" si="2"/>
        <v>0</v>
      </c>
    </row>
    <row r="45" spans="1:16" ht="43.2" customHeight="1">
      <c r="A45" s="5">
        <f t="shared" si="1"/>
        <v>46296</v>
      </c>
      <c r="B45" s="6" t="str">
        <f>CHOOSE(MOD(MATCH(B44,{"Monday","Tuesday","Wednesday","Thursday","Friday","Saturday"},0),6)+1,"Monday","Tuesday","Wednesday","Thursday","Friday","Saturday")</f>
        <v>Thursday</v>
      </c>
      <c r="C45" s="6">
        <v>11</v>
      </c>
      <c r="D45" s="6" t="s">
        <v>190</v>
      </c>
      <c r="E45" s="6" t="s">
        <v>191</v>
      </c>
      <c r="F45" s="6" t="s">
        <v>192</v>
      </c>
      <c r="G45" s="6">
        <v>60</v>
      </c>
      <c r="H45" s="6">
        <v>45</v>
      </c>
      <c r="I45" s="6">
        <v>45</v>
      </c>
      <c r="J45" s="6">
        <v>30</v>
      </c>
      <c r="K45" s="6">
        <v>180</v>
      </c>
      <c r="L45" s="6" t="s">
        <v>193</v>
      </c>
      <c r="M45" s="6" t="s">
        <v>52</v>
      </c>
      <c r="N45" s="7"/>
      <c r="O45" s="6"/>
      <c r="P45" s="8">
        <f t="shared" si="2"/>
        <v>0</v>
      </c>
    </row>
    <row r="46" spans="1:16" ht="43.2" customHeight="1">
      <c r="A46" s="5">
        <f t="shared" si="1"/>
        <v>46297</v>
      </c>
      <c r="B46" s="6" t="str">
        <f>CHOOSE(MOD(MATCH(B45,{"Monday","Tuesday","Wednesday","Thursday","Friday","Saturday"},0),6)+1,"Monday","Tuesday","Wednesday","Thursday","Friday","Saturday")</f>
        <v>Friday</v>
      </c>
      <c r="C46" s="6">
        <v>11</v>
      </c>
      <c r="D46" s="6" t="s">
        <v>190</v>
      </c>
      <c r="E46" s="6" t="s">
        <v>194</v>
      </c>
      <c r="F46" s="6" t="s">
        <v>195</v>
      </c>
      <c r="G46" s="6">
        <v>60</v>
      </c>
      <c r="H46" s="6">
        <v>45</v>
      </c>
      <c r="I46" s="6">
        <v>45</v>
      </c>
      <c r="J46" s="6">
        <v>30</v>
      </c>
      <c r="K46" s="6">
        <v>180</v>
      </c>
      <c r="L46" s="6" t="s">
        <v>196</v>
      </c>
      <c r="M46" s="6" t="s">
        <v>52</v>
      </c>
      <c r="N46" s="7"/>
      <c r="O46" s="6"/>
      <c r="P46" s="8">
        <f t="shared" si="2"/>
        <v>0</v>
      </c>
    </row>
    <row r="47" spans="1:16" ht="43.2" customHeight="1">
      <c r="A47" s="5">
        <f t="shared" si="1"/>
        <v>46298</v>
      </c>
      <c r="B47" s="6" t="str">
        <f>CHOOSE(MOD(MATCH(B46,{"Monday","Tuesday","Wednesday","Thursday","Friday","Saturday"},0),6)+1,"Monday","Tuesday","Wednesday","Thursday","Friday","Saturday")</f>
        <v>Saturday</v>
      </c>
      <c r="C47" s="6">
        <v>11</v>
      </c>
      <c r="D47" s="6" t="s">
        <v>190</v>
      </c>
      <c r="E47" s="6" t="s">
        <v>197</v>
      </c>
      <c r="F47" s="6" t="s">
        <v>198</v>
      </c>
      <c r="G47" s="6">
        <v>60</v>
      </c>
      <c r="H47" s="6">
        <v>45</v>
      </c>
      <c r="I47" s="6">
        <v>45</v>
      </c>
      <c r="J47" s="6">
        <v>30</v>
      </c>
      <c r="K47" s="6">
        <v>180</v>
      </c>
      <c r="L47" s="6" t="s">
        <v>199</v>
      </c>
      <c r="M47" s="6" t="s">
        <v>52</v>
      </c>
      <c r="N47" s="7"/>
      <c r="O47" s="6"/>
      <c r="P47" s="8">
        <f t="shared" si="2"/>
        <v>0</v>
      </c>
    </row>
    <row r="48" spans="1:16" ht="43.2" customHeight="1">
      <c r="A48" s="5">
        <f t="shared" si="1"/>
        <v>46300</v>
      </c>
      <c r="B48" s="6" t="str">
        <f>CHOOSE(MOD(MATCH(B47,{"Monday","Tuesday","Wednesday","Thursday","Friday","Saturday"},0),6)+1,"Monday","Tuesday","Wednesday","Thursday","Friday","Saturday")</f>
        <v>Monday</v>
      </c>
      <c r="C48" s="6">
        <v>11</v>
      </c>
      <c r="D48" s="6" t="s">
        <v>190</v>
      </c>
      <c r="E48" s="6" t="s">
        <v>200</v>
      </c>
      <c r="F48" s="6" t="s">
        <v>201</v>
      </c>
      <c r="G48" s="6">
        <v>60</v>
      </c>
      <c r="H48" s="6">
        <v>45</v>
      </c>
      <c r="I48" s="6">
        <v>45</v>
      </c>
      <c r="J48" s="6">
        <v>30</v>
      </c>
      <c r="K48" s="6">
        <v>180</v>
      </c>
      <c r="L48" s="6" t="s">
        <v>202</v>
      </c>
      <c r="M48" s="6" t="s">
        <v>52</v>
      </c>
      <c r="N48" s="7"/>
      <c r="O48" s="6"/>
      <c r="P48" s="8">
        <f t="shared" si="2"/>
        <v>0</v>
      </c>
    </row>
    <row r="49" spans="1:16" ht="43.2" customHeight="1">
      <c r="A49" s="5">
        <f t="shared" si="1"/>
        <v>46301</v>
      </c>
      <c r="B49" s="6" t="str">
        <f>CHOOSE(MOD(MATCH(B48,{"Monday","Tuesday","Wednesday","Thursday","Friday","Saturday"},0),6)+1,"Monday","Tuesday","Wednesday","Thursday","Friday","Saturday")</f>
        <v>Tuesday</v>
      </c>
      <c r="C49" s="6">
        <v>11</v>
      </c>
      <c r="D49" s="6" t="s">
        <v>190</v>
      </c>
      <c r="E49" s="6" t="s">
        <v>203</v>
      </c>
      <c r="F49" s="6" t="s">
        <v>204</v>
      </c>
      <c r="G49" s="6">
        <v>60</v>
      </c>
      <c r="H49" s="6">
        <v>45</v>
      </c>
      <c r="I49" s="6">
        <v>45</v>
      </c>
      <c r="J49" s="6">
        <v>30</v>
      </c>
      <c r="K49" s="6">
        <v>180</v>
      </c>
      <c r="L49" s="6" t="s">
        <v>205</v>
      </c>
      <c r="M49" s="6" t="s">
        <v>52</v>
      </c>
      <c r="N49" s="7"/>
      <c r="O49" s="6"/>
      <c r="P49" s="8">
        <f t="shared" ref="P49:P80" si="3">IF(M49="Completed",1,IF(M49="In Progress",0.5,0))</f>
        <v>0</v>
      </c>
    </row>
    <row r="50" spans="1:16" ht="43.2" customHeight="1">
      <c r="A50" s="5">
        <f t="shared" si="1"/>
        <v>46302</v>
      </c>
      <c r="B50" s="6" t="str">
        <f>CHOOSE(MOD(MATCH(B49,{"Monday","Tuesday","Wednesday","Thursday","Friday","Saturday"},0),6)+1,"Monday","Tuesday","Wednesday","Thursday","Friday","Saturday")</f>
        <v>Wednesday</v>
      </c>
      <c r="C50" s="6">
        <v>11</v>
      </c>
      <c r="D50" s="6" t="s">
        <v>190</v>
      </c>
      <c r="E50" s="6" t="s">
        <v>206</v>
      </c>
      <c r="F50" s="6" t="s">
        <v>207</v>
      </c>
      <c r="G50" s="6">
        <v>60</v>
      </c>
      <c r="H50" s="6">
        <v>45</v>
      </c>
      <c r="I50" s="6">
        <v>45</v>
      </c>
      <c r="J50" s="6">
        <v>30</v>
      </c>
      <c r="K50" s="6">
        <v>180</v>
      </c>
      <c r="L50" s="6" t="s">
        <v>208</v>
      </c>
      <c r="M50" s="6" t="s">
        <v>52</v>
      </c>
      <c r="N50" s="7"/>
      <c r="O50" s="6"/>
      <c r="P50" s="8">
        <f t="shared" si="3"/>
        <v>0</v>
      </c>
    </row>
    <row r="51" spans="1:16" ht="43.2" customHeight="1">
      <c r="A51" s="5">
        <f t="shared" si="1"/>
        <v>46303</v>
      </c>
      <c r="B51" s="6" t="str">
        <f>CHOOSE(MOD(MATCH(B50,{"Monday","Tuesday","Wednesday","Thursday","Friday","Saturday"},0),6)+1,"Monday","Tuesday","Wednesday","Thursday","Friday","Saturday")</f>
        <v>Thursday</v>
      </c>
      <c r="C51" s="6">
        <v>12</v>
      </c>
      <c r="D51" s="6" t="s">
        <v>209</v>
      </c>
      <c r="E51" s="6" t="s">
        <v>210</v>
      </c>
      <c r="F51" s="6" t="s">
        <v>211</v>
      </c>
      <c r="G51" s="6">
        <v>60</v>
      </c>
      <c r="H51" s="6">
        <v>45</v>
      </c>
      <c r="I51" s="6">
        <v>45</v>
      </c>
      <c r="J51" s="6">
        <v>30</v>
      </c>
      <c r="K51" s="6">
        <v>180</v>
      </c>
      <c r="L51" s="6" t="s">
        <v>212</v>
      </c>
      <c r="M51" s="6" t="s">
        <v>52</v>
      </c>
      <c r="N51" s="7"/>
      <c r="O51" s="6"/>
      <c r="P51" s="8">
        <f t="shared" si="3"/>
        <v>0</v>
      </c>
    </row>
    <row r="52" spans="1:16" ht="43.2" customHeight="1">
      <c r="A52" s="5">
        <f t="shared" si="1"/>
        <v>46304</v>
      </c>
      <c r="B52" s="6" t="str">
        <f>CHOOSE(MOD(MATCH(B51,{"Monday","Tuesday","Wednesday","Thursday","Friday","Saturday"},0),6)+1,"Monday","Tuesday","Wednesday","Thursday","Friday","Saturday")</f>
        <v>Friday</v>
      </c>
      <c r="C52" s="6">
        <v>12</v>
      </c>
      <c r="D52" s="6" t="s">
        <v>209</v>
      </c>
      <c r="E52" s="6" t="s">
        <v>213</v>
      </c>
      <c r="F52" s="6" t="s">
        <v>214</v>
      </c>
      <c r="G52" s="6">
        <v>60</v>
      </c>
      <c r="H52" s="6">
        <v>45</v>
      </c>
      <c r="I52" s="6">
        <v>45</v>
      </c>
      <c r="J52" s="6">
        <v>30</v>
      </c>
      <c r="K52" s="6">
        <v>180</v>
      </c>
      <c r="L52" s="6" t="s">
        <v>215</v>
      </c>
      <c r="M52" s="6" t="s">
        <v>52</v>
      </c>
      <c r="N52" s="7"/>
      <c r="O52" s="6"/>
      <c r="P52" s="8">
        <f t="shared" si="3"/>
        <v>0</v>
      </c>
    </row>
    <row r="53" spans="1:16" ht="43.2" customHeight="1">
      <c r="A53" s="5">
        <f t="shared" si="1"/>
        <v>46305</v>
      </c>
      <c r="B53" s="6" t="str">
        <f>CHOOSE(MOD(MATCH(B52,{"Monday","Tuesday","Wednesday","Thursday","Friday","Saturday"},0),6)+1,"Monday","Tuesday","Wednesday","Thursday","Friday","Saturday")</f>
        <v>Saturday</v>
      </c>
      <c r="C53" s="6">
        <v>12</v>
      </c>
      <c r="D53" s="6" t="s">
        <v>209</v>
      </c>
      <c r="E53" s="6" t="s">
        <v>216</v>
      </c>
      <c r="F53" s="6" t="s">
        <v>217</v>
      </c>
      <c r="G53" s="6">
        <v>60</v>
      </c>
      <c r="H53" s="6">
        <v>45</v>
      </c>
      <c r="I53" s="6">
        <v>45</v>
      </c>
      <c r="J53" s="6">
        <v>30</v>
      </c>
      <c r="K53" s="6">
        <v>180</v>
      </c>
      <c r="L53" s="6" t="s">
        <v>218</v>
      </c>
      <c r="M53" s="6" t="s">
        <v>52</v>
      </c>
      <c r="N53" s="7"/>
      <c r="O53" s="6"/>
      <c r="P53" s="8">
        <f t="shared" si="3"/>
        <v>0</v>
      </c>
    </row>
    <row r="54" spans="1:16" ht="43.2" customHeight="1">
      <c r="A54" s="5">
        <f t="shared" si="1"/>
        <v>46307</v>
      </c>
      <c r="B54" s="6" t="str">
        <f>CHOOSE(MOD(MATCH(B53,{"Monday","Tuesday","Wednesday","Thursday","Friday","Saturday"},0),6)+1,"Monday","Tuesday","Wednesday","Thursday","Friday","Saturday")</f>
        <v>Monday</v>
      </c>
      <c r="C54" s="6">
        <v>12</v>
      </c>
      <c r="D54" s="6" t="s">
        <v>209</v>
      </c>
      <c r="E54" s="6" t="s">
        <v>219</v>
      </c>
      <c r="F54" s="6" t="s">
        <v>220</v>
      </c>
      <c r="G54" s="6">
        <v>60</v>
      </c>
      <c r="H54" s="6">
        <v>45</v>
      </c>
      <c r="I54" s="6">
        <v>45</v>
      </c>
      <c r="J54" s="6">
        <v>30</v>
      </c>
      <c r="K54" s="6">
        <v>180</v>
      </c>
      <c r="L54" s="6" t="s">
        <v>221</v>
      </c>
      <c r="M54" s="6" t="s">
        <v>52</v>
      </c>
      <c r="N54" s="7"/>
      <c r="O54" s="6"/>
      <c r="P54" s="8">
        <f t="shared" si="3"/>
        <v>0</v>
      </c>
    </row>
    <row r="55" spans="1:16" ht="43.2" customHeight="1">
      <c r="A55" s="5">
        <f t="shared" si="1"/>
        <v>46308</v>
      </c>
      <c r="B55" s="6" t="str">
        <f>CHOOSE(MOD(MATCH(B54,{"Monday","Tuesday","Wednesday","Thursday","Friday","Saturday"},0),6)+1,"Monday","Tuesday","Wednesday","Thursday","Friday","Saturday")</f>
        <v>Tuesday</v>
      </c>
      <c r="C55" s="6">
        <v>12</v>
      </c>
      <c r="D55" s="6" t="s">
        <v>209</v>
      </c>
      <c r="E55" s="6" t="s">
        <v>222</v>
      </c>
      <c r="F55" s="6" t="s">
        <v>223</v>
      </c>
      <c r="G55" s="6">
        <v>60</v>
      </c>
      <c r="H55" s="6">
        <v>45</v>
      </c>
      <c r="I55" s="6">
        <v>45</v>
      </c>
      <c r="J55" s="6">
        <v>30</v>
      </c>
      <c r="K55" s="6">
        <v>180</v>
      </c>
      <c r="L55" s="6" t="s">
        <v>224</v>
      </c>
      <c r="M55" s="6" t="s">
        <v>52</v>
      </c>
      <c r="N55" s="7"/>
      <c r="O55" s="6"/>
      <c r="P55" s="8">
        <f t="shared" si="3"/>
        <v>0</v>
      </c>
    </row>
    <row r="56" spans="1:16" ht="43.2" customHeight="1">
      <c r="A56" s="5">
        <f t="shared" si="1"/>
        <v>46309</v>
      </c>
      <c r="B56" s="6" t="str">
        <f>CHOOSE(MOD(MATCH(B55,{"Monday","Tuesday","Wednesday","Thursday","Friday","Saturday"},0),6)+1,"Monday","Tuesday","Wednesday","Thursday","Friday","Saturday")</f>
        <v>Wednesday</v>
      </c>
      <c r="C56" s="6">
        <v>12</v>
      </c>
      <c r="D56" s="6" t="s">
        <v>209</v>
      </c>
      <c r="E56" s="6" t="s">
        <v>225</v>
      </c>
      <c r="F56" s="6" t="s">
        <v>226</v>
      </c>
      <c r="G56" s="6">
        <v>60</v>
      </c>
      <c r="H56" s="6">
        <v>45</v>
      </c>
      <c r="I56" s="6">
        <v>45</v>
      </c>
      <c r="J56" s="6">
        <v>30</v>
      </c>
      <c r="K56" s="6">
        <v>180</v>
      </c>
      <c r="L56" s="6" t="s">
        <v>227</v>
      </c>
      <c r="M56" s="6" t="s">
        <v>52</v>
      </c>
      <c r="N56" s="7"/>
      <c r="O56" s="6"/>
      <c r="P56" s="8">
        <f t="shared" si="3"/>
        <v>0</v>
      </c>
    </row>
    <row r="57" spans="1:16" ht="43.2" customHeight="1">
      <c r="A57" s="5">
        <f t="shared" si="1"/>
        <v>46310</v>
      </c>
      <c r="B57" s="6" t="str">
        <f>CHOOSE(MOD(MATCH(B56,{"Monday","Tuesday","Wednesday","Thursday","Friday","Saturday"},0),6)+1,"Monday","Tuesday","Wednesday","Thursday","Friday","Saturday")</f>
        <v>Thursday</v>
      </c>
      <c r="C57" s="6">
        <v>13</v>
      </c>
      <c r="D57" s="6" t="s">
        <v>228</v>
      </c>
      <c r="E57" s="6" t="s">
        <v>229</v>
      </c>
      <c r="F57" s="6" t="s">
        <v>230</v>
      </c>
      <c r="G57" s="6">
        <v>60</v>
      </c>
      <c r="H57" s="6">
        <v>45</v>
      </c>
      <c r="I57" s="6">
        <v>45</v>
      </c>
      <c r="J57" s="6">
        <v>30</v>
      </c>
      <c r="K57" s="6">
        <v>180</v>
      </c>
      <c r="L57" s="6" t="s">
        <v>231</v>
      </c>
      <c r="M57" s="6" t="s">
        <v>52</v>
      </c>
      <c r="N57" s="7"/>
      <c r="O57" s="6"/>
      <c r="P57" s="8">
        <f t="shared" si="3"/>
        <v>0</v>
      </c>
    </row>
    <row r="58" spans="1:16" ht="43.2" customHeight="1">
      <c r="A58" s="5">
        <f t="shared" si="1"/>
        <v>46311</v>
      </c>
      <c r="B58" s="6" t="str">
        <f>CHOOSE(MOD(MATCH(B57,{"Monday","Tuesday","Wednesday","Thursday","Friday","Saturday"},0),6)+1,"Monday","Tuesday","Wednesday","Thursday","Friday","Saturday")</f>
        <v>Friday</v>
      </c>
      <c r="C58" s="6">
        <v>13</v>
      </c>
      <c r="D58" s="6" t="s">
        <v>228</v>
      </c>
      <c r="E58" s="6" t="s">
        <v>232</v>
      </c>
      <c r="F58" s="6" t="s">
        <v>233</v>
      </c>
      <c r="G58" s="6">
        <v>60</v>
      </c>
      <c r="H58" s="6">
        <v>45</v>
      </c>
      <c r="I58" s="6">
        <v>45</v>
      </c>
      <c r="J58" s="6">
        <v>30</v>
      </c>
      <c r="K58" s="6">
        <v>180</v>
      </c>
      <c r="L58" s="6" t="s">
        <v>234</v>
      </c>
      <c r="M58" s="6" t="s">
        <v>52</v>
      </c>
      <c r="N58" s="7"/>
      <c r="O58" s="6"/>
      <c r="P58" s="8">
        <f t="shared" si="3"/>
        <v>0</v>
      </c>
    </row>
    <row r="59" spans="1:16" ht="43.2" customHeight="1">
      <c r="A59" s="5">
        <f t="shared" si="1"/>
        <v>46312</v>
      </c>
      <c r="B59" s="6" t="str">
        <f>CHOOSE(MOD(MATCH(B58,{"Monday","Tuesday","Wednesday","Thursday","Friday","Saturday"},0),6)+1,"Monday","Tuesday","Wednesday","Thursday","Friday","Saturday")</f>
        <v>Saturday</v>
      </c>
      <c r="C59" s="6">
        <v>13</v>
      </c>
      <c r="D59" s="6" t="s">
        <v>228</v>
      </c>
      <c r="E59" s="6" t="s">
        <v>235</v>
      </c>
      <c r="F59" s="6" t="s">
        <v>236</v>
      </c>
      <c r="G59" s="6">
        <v>60</v>
      </c>
      <c r="H59" s="6">
        <v>45</v>
      </c>
      <c r="I59" s="6">
        <v>45</v>
      </c>
      <c r="J59" s="6">
        <v>30</v>
      </c>
      <c r="K59" s="6">
        <v>180</v>
      </c>
      <c r="L59" s="6" t="s">
        <v>237</v>
      </c>
      <c r="M59" s="6" t="s">
        <v>52</v>
      </c>
      <c r="N59" s="7"/>
      <c r="O59" s="6"/>
      <c r="P59" s="8">
        <f t="shared" si="3"/>
        <v>0</v>
      </c>
    </row>
    <row r="60" spans="1:16" ht="43.2" customHeight="1">
      <c r="A60" s="5">
        <f t="shared" si="1"/>
        <v>46314</v>
      </c>
      <c r="B60" s="6" t="str">
        <f>CHOOSE(MOD(MATCH(B59,{"Monday","Tuesday","Wednesday","Thursday","Friday","Saturday"},0),6)+1,"Monday","Tuesday","Wednesday","Thursday","Friday","Saturday")</f>
        <v>Monday</v>
      </c>
      <c r="C60" s="6">
        <v>13</v>
      </c>
      <c r="D60" s="6" t="s">
        <v>228</v>
      </c>
      <c r="E60" s="6" t="s">
        <v>238</v>
      </c>
      <c r="F60" s="6" t="s">
        <v>239</v>
      </c>
      <c r="G60" s="6">
        <v>60</v>
      </c>
      <c r="H60" s="6">
        <v>45</v>
      </c>
      <c r="I60" s="6">
        <v>45</v>
      </c>
      <c r="J60" s="6">
        <v>30</v>
      </c>
      <c r="K60" s="6">
        <v>180</v>
      </c>
      <c r="L60" s="6" t="s">
        <v>240</v>
      </c>
      <c r="M60" s="6" t="s">
        <v>52</v>
      </c>
      <c r="N60" s="7"/>
      <c r="O60" s="6"/>
      <c r="P60" s="8">
        <f t="shared" si="3"/>
        <v>0</v>
      </c>
    </row>
    <row r="61" spans="1:16" ht="43.2" customHeight="1">
      <c r="A61" s="5">
        <f t="shared" si="1"/>
        <v>46315</v>
      </c>
      <c r="B61" s="6" t="str">
        <f>CHOOSE(MOD(MATCH(B60,{"Monday","Tuesday","Wednesday","Thursday","Friday","Saturday"},0),6)+1,"Monday","Tuesday","Wednesday","Thursday","Friday","Saturday")</f>
        <v>Tuesday</v>
      </c>
      <c r="C61" s="6">
        <v>13</v>
      </c>
      <c r="D61" s="6" t="s">
        <v>228</v>
      </c>
      <c r="E61" s="6" t="s">
        <v>241</v>
      </c>
      <c r="F61" s="6" t="s">
        <v>242</v>
      </c>
      <c r="G61" s="6">
        <v>60</v>
      </c>
      <c r="H61" s="6">
        <v>45</v>
      </c>
      <c r="I61" s="6">
        <v>45</v>
      </c>
      <c r="J61" s="6">
        <v>30</v>
      </c>
      <c r="K61" s="6">
        <v>180</v>
      </c>
      <c r="L61" s="6" t="s">
        <v>243</v>
      </c>
      <c r="M61" s="6" t="s">
        <v>52</v>
      </c>
      <c r="N61" s="7"/>
      <c r="O61" s="6"/>
      <c r="P61" s="8">
        <f t="shared" si="3"/>
        <v>0</v>
      </c>
    </row>
    <row r="62" spans="1:16" ht="43.2" customHeight="1">
      <c r="A62" s="5">
        <f t="shared" si="1"/>
        <v>46316</v>
      </c>
      <c r="B62" s="6" t="str">
        <f>CHOOSE(MOD(MATCH(B61,{"Monday","Tuesday","Wednesday","Thursday","Friday","Saturday"},0),6)+1,"Monday","Tuesday","Wednesday","Thursday","Friday","Saturday")</f>
        <v>Wednesday</v>
      </c>
      <c r="C62" s="6">
        <v>13</v>
      </c>
      <c r="D62" s="6" t="s">
        <v>228</v>
      </c>
      <c r="E62" s="6" t="s">
        <v>244</v>
      </c>
      <c r="F62" s="6" t="s">
        <v>245</v>
      </c>
      <c r="G62" s="6">
        <v>60</v>
      </c>
      <c r="H62" s="6">
        <v>45</v>
      </c>
      <c r="I62" s="6">
        <v>45</v>
      </c>
      <c r="J62" s="6">
        <v>30</v>
      </c>
      <c r="K62" s="6">
        <v>180</v>
      </c>
      <c r="L62" s="6" t="s">
        <v>246</v>
      </c>
      <c r="M62" s="6" t="s">
        <v>52</v>
      </c>
      <c r="N62" s="7"/>
      <c r="O62" s="6"/>
      <c r="P62" s="8">
        <f t="shared" si="3"/>
        <v>0</v>
      </c>
    </row>
    <row r="63" spans="1:16" ht="43.2" customHeight="1">
      <c r="A63" s="5">
        <f t="shared" si="1"/>
        <v>46317</v>
      </c>
      <c r="B63" s="6" t="str">
        <f>CHOOSE(MOD(MATCH(B62,{"Monday","Tuesday","Wednesday","Thursday","Friday","Saturday"},0),6)+1,"Monday","Tuesday","Wednesday","Thursday","Friday","Saturday")</f>
        <v>Thursday</v>
      </c>
      <c r="C63" s="6">
        <v>14</v>
      </c>
      <c r="D63" s="6" t="s">
        <v>247</v>
      </c>
      <c r="E63" s="6" t="s">
        <v>248</v>
      </c>
      <c r="F63" s="6" t="s">
        <v>249</v>
      </c>
      <c r="G63" s="6">
        <v>60</v>
      </c>
      <c r="H63" s="6">
        <v>45</v>
      </c>
      <c r="I63" s="6">
        <v>45</v>
      </c>
      <c r="J63" s="6">
        <v>30</v>
      </c>
      <c r="K63" s="6">
        <v>180</v>
      </c>
      <c r="L63" s="6" t="s">
        <v>250</v>
      </c>
      <c r="M63" s="6" t="s">
        <v>52</v>
      </c>
      <c r="N63" s="7"/>
      <c r="O63" s="6"/>
      <c r="P63" s="8">
        <f t="shared" si="3"/>
        <v>0</v>
      </c>
    </row>
    <row r="64" spans="1:16" ht="43.2" customHeight="1">
      <c r="A64" s="5">
        <f t="shared" si="1"/>
        <v>46318</v>
      </c>
      <c r="B64" s="6" t="str">
        <f>CHOOSE(MOD(MATCH(B63,{"Monday","Tuesday","Wednesday","Thursday","Friday","Saturday"},0),6)+1,"Monday","Tuesday","Wednesday","Thursday","Friday","Saturday")</f>
        <v>Friday</v>
      </c>
      <c r="C64" s="6">
        <v>14</v>
      </c>
      <c r="D64" s="6" t="s">
        <v>247</v>
      </c>
      <c r="E64" s="6" t="s">
        <v>251</v>
      </c>
      <c r="F64" s="6" t="s">
        <v>252</v>
      </c>
      <c r="G64" s="6">
        <v>60</v>
      </c>
      <c r="H64" s="6">
        <v>45</v>
      </c>
      <c r="I64" s="6">
        <v>45</v>
      </c>
      <c r="J64" s="6">
        <v>30</v>
      </c>
      <c r="K64" s="6">
        <v>180</v>
      </c>
      <c r="L64" s="6" t="s">
        <v>253</v>
      </c>
      <c r="M64" s="6" t="s">
        <v>52</v>
      </c>
      <c r="N64" s="7"/>
      <c r="O64" s="6"/>
      <c r="P64" s="8">
        <f t="shared" si="3"/>
        <v>0</v>
      </c>
    </row>
    <row r="65" spans="1:16" ht="43.2" customHeight="1">
      <c r="A65" s="5">
        <f t="shared" si="1"/>
        <v>46319</v>
      </c>
      <c r="B65" s="6" t="str">
        <f>CHOOSE(MOD(MATCH(B64,{"Monday","Tuesday","Wednesday","Thursday","Friday","Saturday"},0),6)+1,"Monday","Tuesday","Wednesday","Thursday","Friday","Saturday")</f>
        <v>Saturday</v>
      </c>
      <c r="C65" s="6">
        <v>14</v>
      </c>
      <c r="D65" s="6" t="s">
        <v>247</v>
      </c>
      <c r="E65" s="6" t="s">
        <v>254</v>
      </c>
      <c r="F65" s="6" t="s">
        <v>255</v>
      </c>
      <c r="G65" s="6">
        <v>60</v>
      </c>
      <c r="H65" s="6">
        <v>45</v>
      </c>
      <c r="I65" s="6">
        <v>45</v>
      </c>
      <c r="J65" s="6">
        <v>30</v>
      </c>
      <c r="K65" s="6">
        <v>180</v>
      </c>
      <c r="L65" s="6" t="s">
        <v>256</v>
      </c>
      <c r="M65" s="6" t="s">
        <v>52</v>
      </c>
      <c r="N65" s="7"/>
      <c r="O65" s="6"/>
      <c r="P65" s="8">
        <f t="shared" si="3"/>
        <v>0</v>
      </c>
    </row>
    <row r="66" spans="1:16" ht="43.2" customHeight="1">
      <c r="A66" s="5">
        <f t="shared" si="1"/>
        <v>46321</v>
      </c>
      <c r="B66" s="6" t="str">
        <f>CHOOSE(MOD(MATCH(B65,{"Monday","Tuesday","Wednesday","Thursday","Friday","Saturday"},0),6)+1,"Monday","Tuesday","Wednesday","Thursday","Friday","Saturday")</f>
        <v>Monday</v>
      </c>
      <c r="C66" s="6">
        <v>14</v>
      </c>
      <c r="D66" s="6" t="s">
        <v>247</v>
      </c>
      <c r="E66" s="6" t="s">
        <v>257</v>
      </c>
      <c r="F66" s="6" t="s">
        <v>258</v>
      </c>
      <c r="G66" s="6">
        <v>60</v>
      </c>
      <c r="H66" s="6">
        <v>45</v>
      </c>
      <c r="I66" s="6">
        <v>45</v>
      </c>
      <c r="J66" s="6">
        <v>30</v>
      </c>
      <c r="K66" s="6">
        <v>180</v>
      </c>
      <c r="L66" s="6" t="s">
        <v>259</v>
      </c>
      <c r="M66" s="6" t="s">
        <v>52</v>
      </c>
      <c r="N66" s="7"/>
      <c r="O66" s="6"/>
      <c r="P66" s="8">
        <f t="shared" si="3"/>
        <v>0</v>
      </c>
    </row>
    <row r="67" spans="1:16" ht="43.2" customHeight="1">
      <c r="A67" s="5">
        <f t="shared" si="1"/>
        <v>46322</v>
      </c>
      <c r="B67" s="6" t="str">
        <f>CHOOSE(MOD(MATCH(B66,{"Monday","Tuesday","Wednesday","Thursday","Friday","Saturday"},0),6)+1,"Monday","Tuesday","Wednesday","Thursday","Friday","Saturday")</f>
        <v>Tuesday</v>
      </c>
      <c r="C67" s="6">
        <v>14</v>
      </c>
      <c r="D67" s="6" t="s">
        <v>247</v>
      </c>
      <c r="E67" s="6" t="s">
        <v>260</v>
      </c>
      <c r="F67" s="6" t="s">
        <v>261</v>
      </c>
      <c r="G67" s="6">
        <v>60</v>
      </c>
      <c r="H67" s="6">
        <v>45</v>
      </c>
      <c r="I67" s="6">
        <v>45</v>
      </c>
      <c r="J67" s="6">
        <v>30</v>
      </c>
      <c r="K67" s="6">
        <v>180</v>
      </c>
      <c r="L67" s="6" t="s">
        <v>262</v>
      </c>
      <c r="M67" s="6" t="s">
        <v>52</v>
      </c>
      <c r="N67" s="7"/>
      <c r="O67" s="6"/>
      <c r="P67" s="8">
        <f t="shared" si="3"/>
        <v>0</v>
      </c>
    </row>
    <row r="68" spans="1:16" ht="43.2" customHeight="1">
      <c r="A68" s="5">
        <f t="shared" ref="A68:A110" si="4">A67+IF(WEEKDAY(A67,2)=6,2,1)</f>
        <v>46323</v>
      </c>
      <c r="B68" s="6" t="str">
        <f>CHOOSE(MOD(MATCH(B67,{"Monday","Tuesday","Wednesday","Thursday","Friday","Saturday"},0),6)+1,"Monday","Tuesday","Wednesday","Thursday","Friday","Saturday")</f>
        <v>Wednesday</v>
      </c>
      <c r="C68" s="6">
        <v>14</v>
      </c>
      <c r="D68" s="6" t="s">
        <v>247</v>
      </c>
      <c r="E68" s="6" t="s">
        <v>263</v>
      </c>
      <c r="F68" s="6" t="s">
        <v>264</v>
      </c>
      <c r="G68" s="6">
        <v>60</v>
      </c>
      <c r="H68" s="6">
        <v>45</v>
      </c>
      <c r="I68" s="6">
        <v>45</v>
      </c>
      <c r="J68" s="6">
        <v>30</v>
      </c>
      <c r="K68" s="6">
        <v>180</v>
      </c>
      <c r="L68" s="6" t="s">
        <v>265</v>
      </c>
      <c r="M68" s="6" t="s">
        <v>52</v>
      </c>
      <c r="N68" s="7"/>
      <c r="O68" s="6"/>
      <c r="P68" s="8">
        <f t="shared" si="3"/>
        <v>0</v>
      </c>
    </row>
    <row r="69" spans="1:16" ht="43.2" customHeight="1">
      <c r="A69" s="5">
        <f t="shared" si="4"/>
        <v>46324</v>
      </c>
      <c r="B69" s="6" t="str">
        <f>CHOOSE(MOD(MATCH(B68,{"Monday","Tuesday","Wednesday","Thursday","Friday","Saturday"},0),6)+1,"Monday","Tuesday","Wednesday","Thursday","Friday","Saturday")</f>
        <v>Thursday</v>
      </c>
      <c r="C69" s="6">
        <v>15</v>
      </c>
      <c r="D69" s="6" t="s">
        <v>266</v>
      </c>
      <c r="E69" s="6" t="s">
        <v>267</v>
      </c>
      <c r="F69" s="6" t="s">
        <v>268</v>
      </c>
      <c r="G69" s="6">
        <v>60</v>
      </c>
      <c r="H69" s="6">
        <v>45</v>
      </c>
      <c r="I69" s="6">
        <v>45</v>
      </c>
      <c r="J69" s="6">
        <v>30</v>
      </c>
      <c r="K69" s="6">
        <v>180</v>
      </c>
      <c r="L69" s="6" t="s">
        <v>269</v>
      </c>
      <c r="M69" s="6" t="s">
        <v>52</v>
      </c>
      <c r="N69" s="7"/>
      <c r="O69" s="6"/>
      <c r="P69" s="8">
        <f t="shared" si="3"/>
        <v>0</v>
      </c>
    </row>
    <row r="70" spans="1:16" ht="43.2" customHeight="1">
      <c r="A70" s="5">
        <f t="shared" si="4"/>
        <v>46325</v>
      </c>
      <c r="B70" s="6" t="str">
        <f>CHOOSE(MOD(MATCH(B69,{"Monday","Tuesday","Wednesday","Thursday","Friday","Saturday"},0),6)+1,"Monday","Tuesday","Wednesday","Thursday","Friday","Saturday")</f>
        <v>Friday</v>
      </c>
      <c r="C70" s="6">
        <v>15</v>
      </c>
      <c r="D70" s="6" t="s">
        <v>266</v>
      </c>
      <c r="E70" s="6" t="s">
        <v>270</v>
      </c>
      <c r="F70" s="6" t="s">
        <v>271</v>
      </c>
      <c r="G70" s="6">
        <v>60</v>
      </c>
      <c r="H70" s="6">
        <v>45</v>
      </c>
      <c r="I70" s="6">
        <v>45</v>
      </c>
      <c r="J70" s="6">
        <v>30</v>
      </c>
      <c r="K70" s="6">
        <v>180</v>
      </c>
      <c r="L70" s="6" t="s">
        <v>272</v>
      </c>
      <c r="M70" s="6" t="s">
        <v>52</v>
      </c>
      <c r="N70" s="7"/>
      <c r="O70" s="6"/>
      <c r="P70" s="8">
        <f t="shared" si="3"/>
        <v>0</v>
      </c>
    </row>
    <row r="71" spans="1:16" ht="43.2" customHeight="1">
      <c r="A71" s="5">
        <f t="shared" si="4"/>
        <v>46326</v>
      </c>
      <c r="B71" s="6" t="str">
        <f>CHOOSE(MOD(MATCH(B70,{"Monday","Tuesday","Wednesday","Thursday","Friday","Saturday"},0),6)+1,"Monday","Tuesday","Wednesday","Thursday","Friday","Saturday")</f>
        <v>Saturday</v>
      </c>
      <c r="C71" s="6">
        <v>15</v>
      </c>
      <c r="D71" s="6" t="s">
        <v>266</v>
      </c>
      <c r="E71" s="6" t="s">
        <v>273</v>
      </c>
      <c r="F71" s="6" t="s">
        <v>274</v>
      </c>
      <c r="G71" s="6">
        <v>60</v>
      </c>
      <c r="H71" s="6">
        <v>45</v>
      </c>
      <c r="I71" s="6">
        <v>45</v>
      </c>
      <c r="J71" s="6">
        <v>30</v>
      </c>
      <c r="K71" s="6">
        <v>180</v>
      </c>
      <c r="L71" s="6" t="s">
        <v>275</v>
      </c>
      <c r="M71" s="6" t="s">
        <v>52</v>
      </c>
      <c r="N71" s="7"/>
      <c r="O71" s="6"/>
      <c r="P71" s="8">
        <f t="shared" si="3"/>
        <v>0</v>
      </c>
    </row>
    <row r="72" spans="1:16" ht="43.2" customHeight="1">
      <c r="A72" s="5">
        <f t="shared" si="4"/>
        <v>46328</v>
      </c>
      <c r="B72" s="6" t="str">
        <f>CHOOSE(MOD(MATCH(B71,{"Monday","Tuesday","Wednesday","Thursday","Friday","Saturday"},0),6)+1,"Monday","Tuesday","Wednesday","Thursday","Friday","Saturday")</f>
        <v>Monday</v>
      </c>
      <c r="C72" s="6">
        <v>15</v>
      </c>
      <c r="D72" s="6" t="s">
        <v>266</v>
      </c>
      <c r="E72" s="6" t="s">
        <v>276</v>
      </c>
      <c r="F72" s="6" t="s">
        <v>277</v>
      </c>
      <c r="G72" s="6">
        <v>60</v>
      </c>
      <c r="H72" s="6">
        <v>45</v>
      </c>
      <c r="I72" s="6">
        <v>45</v>
      </c>
      <c r="J72" s="6">
        <v>30</v>
      </c>
      <c r="K72" s="6">
        <v>180</v>
      </c>
      <c r="L72" s="6" t="s">
        <v>278</v>
      </c>
      <c r="M72" s="6" t="s">
        <v>52</v>
      </c>
      <c r="N72" s="7"/>
      <c r="O72" s="6"/>
      <c r="P72" s="8">
        <f t="shared" si="3"/>
        <v>0</v>
      </c>
    </row>
    <row r="73" spans="1:16" ht="43.2" customHeight="1">
      <c r="A73" s="5">
        <f t="shared" si="4"/>
        <v>46329</v>
      </c>
      <c r="B73" s="6" t="str">
        <f>CHOOSE(MOD(MATCH(B72,{"Monday","Tuesday","Wednesday","Thursday","Friday","Saturday"},0),6)+1,"Monday","Tuesday","Wednesday","Thursday","Friday","Saturday")</f>
        <v>Tuesday</v>
      </c>
      <c r="C73" s="6">
        <v>15</v>
      </c>
      <c r="D73" s="6" t="s">
        <v>266</v>
      </c>
      <c r="E73" s="6" t="s">
        <v>279</v>
      </c>
      <c r="F73" s="6" t="s">
        <v>280</v>
      </c>
      <c r="G73" s="6">
        <v>60</v>
      </c>
      <c r="H73" s="6">
        <v>45</v>
      </c>
      <c r="I73" s="6">
        <v>45</v>
      </c>
      <c r="J73" s="6">
        <v>30</v>
      </c>
      <c r="K73" s="6">
        <v>180</v>
      </c>
      <c r="L73" s="6" t="s">
        <v>281</v>
      </c>
      <c r="M73" s="6" t="s">
        <v>52</v>
      </c>
      <c r="N73" s="7"/>
      <c r="O73" s="6"/>
      <c r="P73" s="8">
        <f t="shared" si="3"/>
        <v>0</v>
      </c>
    </row>
    <row r="74" spans="1:16" ht="43.2" customHeight="1">
      <c r="A74" s="5">
        <f t="shared" si="4"/>
        <v>46330</v>
      </c>
      <c r="B74" s="6" t="str">
        <f>CHOOSE(MOD(MATCH(B73,{"Monday","Tuesday","Wednesday","Thursday","Friday","Saturday"},0),6)+1,"Monday","Tuesday","Wednesday","Thursday","Friday","Saturday")</f>
        <v>Wednesday</v>
      </c>
      <c r="C74" s="6">
        <v>15</v>
      </c>
      <c r="D74" s="6" t="s">
        <v>266</v>
      </c>
      <c r="E74" s="6" t="s">
        <v>282</v>
      </c>
      <c r="F74" s="6" t="s">
        <v>283</v>
      </c>
      <c r="G74" s="6">
        <v>60</v>
      </c>
      <c r="H74" s="6">
        <v>45</v>
      </c>
      <c r="I74" s="6">
        <v>45</v>
      </c>
      <c r="J74" s="6">
        <v>30</v>
      </c>
      <c r="K74" s="6">
        <v>180</v>
      </c>
      <c r="L74" s="6" t="s">
        <v>284</v>
      </c>
      <c r="M74" s="6" t="s">
        <v>52</v>
      </c>
      <c r="N74" s="7"/>
      <c r="O74" s="6"/>
      <c r="P74" s="8">
        <f t="shared" si="3"/>
        <v>0</v>
      </c>
    </row>
    <row r="75" spans="1:16" ht="43.2" customHeight="1">
      <c r="A75" s="5">
        <f t="shared" si="4"/>
        <v>46331</v>
      </c>
      <c r="B75" s="6" t="str">
        <f>CHOOSE(MOD(MATCH(B74,{"Monday","Tuesday","Wednesday","Thursday","Friday","Saturday"},0),6)+1,"Monday","Tuesday","Wednesday","Thursday","Friday","Saturday")</f>
        <v>Thursday</v>
      </c>
      <c r="C75" s="6">
        <v>16</v>
      </c>
      <c r="D75" s="6" t="s">
        <v>285</v>
      </c>
      <c r="E75" s="6" t="s">
        <v>286</v>
      </c>
      <c r="F75" s="6" t="s">
        <v>287</v>
      </c>
      <c r="G75" s="6">
        <v>60</v>
      </c>
      <c r="H75" s="6">
        <v>45</v>
      </c>
      <c r="I75" s="6">
        <v>45</v>
      </c>
      <c r="J75" s="6">
        <v>30</v>
      </c>
      <c r="K75" s="6">
        <v>180</v>
      </c>
      <c r="L75" s="6" t="s">
        <v>288</v>
      </c>
      <c r="M75" s="6" t="s">
        <v>52</v>
      </c>
      <c r="N75" s="7"/>
      <c r="O75" s="6"/>
      <c r="P75" s="8">
        <f t="shared" si="3"/>
        <v>0</v>
      </c>
    </row>
    <row r="76" spans="1:16" ht="43.2" customHeight="1">
      <c r="A76" s="5">
        <f t="shared" si="4"/>
        <v>46332</v>
      </c>
      <c r="B76" s="6" t="str">
        <f>CHOOSE(MOD(MATCH(B75,{"Monday","Tuesday","Wednesday","Thursday","Friday","Saturday"},0),6)+1,"Monday","Tuesday","Wednesday","Thursday","Friday","Saturday")</f>
        <v>Friday</v>
      </c>
      <c r="C76" s="6">
        <v>16</v>
      </c>
      <c r="D76" s="6" t="s">
        <v>285</v>
      </c>
      <c r="E76" s="6" t="s">
        <v>289</v>
      </c>
      <c r="F76" s="6" t="s">
        <v>290</v>
      </c>
      <c r="G76" s="6">
        <v>60</v>
      </c>
      <c r="H76" s="6">
        <v>45</v>
      </c>
      <c r="I76" s="6">
        <v>45</v>
      </c>
      <c r="J76" s="6">
        <v>30</v>
      </c>
      <c r="K76" s="6">
        <v>180</v>
      </c>
      <c r="L76" s="6" t="s">
        <v>291</v>
      </c>
      <c r="M76" s="6" t="s">
        <v>52</v>
      </c>
      <c r="N76" s="7"/>
      <c r="O76" s="6"/>
      <c r="P76" s="8">
        <f t="shared" si="3"/>
        <v>0</v>
      </c>
    </row>
    <row r="77" spans="1:16" ht="43.2" customHeight="1">
      <c r="A77" s="5">
        <f t="shared" si="4"/>
        <v>46333</v>
      </c>
      <c r="B77" s="6" t="str">
        <f>CHOOSE(MOD(MATCH(B76,{"Monday","Tuesday","Wednesday","Thursday","Friday","Saturday"},0),6)+1,"Monday","Tuesday","Wednesday","Thursday","Friday","Saturday")</f>
        <v>Saturday</v>
      </c>
      <c r="C77" s="6">
        <v>16</v>
      </c>
      <c r="D77" s="6" t="s">
        <v>285</v>
      </c>
      <c r="E77" s="6" t="s">
        <v>292</v>
      </c>
      <c r="F77" s="6" t="s">
        <v>293</v>
      </c>
      <c r="G77" s="6">
        <v>60</v>
      </c>
      <c r="H77" s="6">
        <v>45</v>
      </c>
      <c r="I77" s="6">
        <v>45</v>
      </c>
      <c r="J77" s="6">
        <v>30</v>
      </c>
      <c r="K77" s="6">
        <v>180</v>
      </c>
      <c r="L77" s="6" t="s">
        <v>294</v>
      </c>
      <c r="M77" s="6" t="s">
        <v>52</v>
      </c>
      <c r="N77" s="7"/>
      <c r="O77" s="6"/>
      <c r="P77" s="8">
        <f t="shared" si="3"/>
        <v>0</v>
      </c>
    </row>
    <row r="78" spans="1:16" ht="43.2" customHeight="1">
      <c r="A78" s="5">
        <f t="shared" si="4"/>
        <v>46335</v>
      </c>
      <c r="B78" s="6" t="str">
        <f>CHOOSE(MOD(MATCH(B77,{"Monday","Tuesday","Wednesday","Thursday","Friday","Saturday"},0),6)+1,"Monday","Tuesday","Wednesday","Thursday","Friday","Saturday")</f>
        <v>Monday</v>
      </c>
      <c r="C78" s="6">
        <v>16</v>
      </c>
      <c r="D78" s="6" t="s">
        <v>285</v>
      </c>
      <c r="E78" s="6" t="s">
        <v>295</v>
      </c>
      <c r="F78" s="6" t="s">
        <v>296</v>
      </c>
      <c r="G78" s="6">
        <v>60</v>
      </c>
      <c r="H78" s="6">
        <v>45</v>
      </c>
      <c r="I78" s="6">
        <v>45</v>
      </c>
      <c r="J78" s="6">
        <v>30</v>
      </c>
      <c r="K78" s="6">
        <v>180</v>
      </c>
      <c r="L78" s="6" t="s">
        <v>297</v>
      </c>
      <c r="M78" s="6" t="s">
        <v>52</v>
      </c>
      <c r="N78" s="7"/>
      <c r="O78" s="6"/>
      <c r="P78" s="8">
        <f t="shared" si="3"/>
        <v>0</v>
      </c>
    </row>
    <row r="79" spans="1:16" ht="43.2" customHeight="1">
      <c r="A79" s="5">
        <f t="shared" si="4"/>
        <v>46336</v>
      </c>
      <c r="B79" s="6" t="str">
        <f>CHOOSE(MOD(MATCH(B78,{"Monday","Tuesday","Wednesday","Thursday","Friday","Saturday"},0),6)+1,"Monday","Tuesday","Wednesday","Thursday","Friday","Saturday")</f>
        <v>Tuesday</v>
      </c>
      <c r="C79" s="6">
        <v>16</v>
      </c>
      <c r="D79" s="6" t="s">
        <v>285</v>
      </c>
      <c r="E79" s="6" t="s">
        <v>298</v>
      </c>
      <c r="F79" s="6" t="s">
        <v>299</v>
      </c>
      <c r="G79" s="6">
        <v>60</v>
      </c>
      <c r="H79" s="6">
        <v>45</v>
      </c>
      <c r="I79" s="6">
        <v>45</v>
      </c>
      <c r="J79" s="6">
        <v>30</v>
      </c>
      <c r="K79" s="6">
        <v>180</v>
      </c>
      <c r="L79" s="6" t="s">
        <v>300</v>
      </c>
      <c r="M79" s="6" t="s">
        <v>52</v>
      </c>
      <c r="N79" s="7"/>
      <c r="O79" s="6"/>
      <c r="P79" s="8">
        <f t="shared" si="3"/>
        <v>0</v>
      </c>
    </row>
    <row r="80" spans="1:16" ht="43.2" customHeight="1">
      <c r="A80" s="5">
        <f t="shared" si="4"/>
        <v>46337</v>
      </c>
      <c r="B80" s="6" t="str">
        <f>CHOOSE(MOD(MATCH(B79,{"Monday","Tuesday","Wednesday","Thursday","Friday","Saturday"},0),6)+1,"Monday","Tuesday","Wednesday","Thursday","Friday","Saturday")</f>
        <v>Wednesday</v>
      </c>
      <c r="C80" s="6">
        <v>16</v>
      </c>
      <c r="D80" s="6" t="s">
        <v>285</v>
      </c>
      <c r="E80" s="6" t="s">
        <v>301</v>
      </c>
      <c r="F80" s="6" t="s">
        <v>302</v>
      </c>
      <c r="G80" s="6">
        <v>60</v>
      </c>
      <c r="H80" s="6">
        <v>45</v>
      </c>
      <c r="I80" s="6">
        <v>45</v>
      </c>
      <c r="J80" s="6">
        <v>30</v>
      </c>
      <c r="K80" s="6">
        <v>180</v>
      </c>
      <c r="L80" s="6" t="s">
        <v>303</v>
      </c>
      <c r="M80" s="6" t="s">
        <v>52</v>
      </c>
      <c r="N80" s="7"/>
      <c r="O80" s="6"/>
      <c r="P80" s="8">
        <f t="shared" si="3"/>
        <v>0</v>
      </c>
    </row>
    <row r="81" spans="1:16" ht="43.2" customHeight="1">
      <c r="A81" s="5">
        <f t="shared" si="4"/>
        <v>46338</v>
      </c>
      <c r="B81" s="6" t="str">
        <f>CHOOSE(MOD(MATCH(B80,{"Monday","Tuesday","Wednesday","Thursday","Friday","Saturday"},0),6)+1,"Monday","Tuesday","Wednesday","Thursday","Friday","Saturday")</f>
        <v>Thursday</v>
      </c>
      <c r="C81" s="6">
        <v>17</v>
      </c>
      <c r="D81" s="6" t="s">
        <v>304</v>
      </c>
      <c r="E81" s="6" t="s">
        <v>305</v>
      </c>
      <c r="F81" s="6" t="s">
        <v>306</v>
      </c>
      <c r="G81" s="6">
        <v>60</v>
      </c>
      <c r="H81" s="6">
        <v>45</v>
      </c>
      <c r="I81" s="6">
        <v>45</v>
      </c>
      <c r="J81" s="6">
        <v>30</v>
      </c>
      <c r="K81" s="6">
        <v>180</v>
      </c>
      <c r="L81" s="6" t="s">
        <v>307</v>
      </c>
      <c r="M81" s="6" t="s">
        <v>52</v>
      </c>
      <c r="N81" s="7"/>
      <c r="O81" s="6"/>
      <c r="P81" s="8">
        <f t="shared" ref="P81:P110" si="5">IF(M81="Completed",1,IF(M81="In Progress",0.5,0))</f>
        <v>0</v>
      </c>
    </row>
    <row r="82" spans="1:16" ht="43.2" customHeight="1">
      <c r="A82" s="5">
        <f t="shared" si="4"/>
        <v>46339</v>
      </c>
      <c r="B82" s="6" t="str">
        <f>CHOOSE(MOD(MATCH(B81,{"Monday","Tuesday","Wednesday","Thursday","Friday","Saturday"},0),6)+1,"Monday","Tuesday","Wednesday","Thursday","Friday","Saturday")</f>
        <v>Friday</v>
      </c>
      <c r="C82" s="6">
        <v>17</v>
      </c>
      <c r="D82" s="6" t="s">
        <v>304</v>
      </c>
      <c r="E82" s="6" t="s">
        <v>308</v>
      </c>
      <c r="F82" s="6" t="s">
        <v>309</v>
      </c>
      <c r="G82" s="6">
        <v>60</v>
      </c>
      <c r="H82" s="6">
        <v>45</v>
      </c>
      <c r="I82" s="6">
        <v>45</v>
      </c>
      <c r="J82" s="6">
        <v>30</v>
      </c>
      <c r="K82" s="6">
        <v>180</v>
      </c>
      <c r="L82" s="6" t="s">
        <v>310</v>
      </c>
      <c r="M82" s="6" t="s">
        <v>52</v>
      </c>
      <c r="N82" s="7"/>
      <c r="O82" s="6"/>
      <c r="P82" s="8">
        <f t="shared" si="5"/>
        <v>0</v>
      </c>
    </row>
    <row r="83" spans="1:16" ht="43.2" customHeight="1">
      <c r="A83" s="5">
        <f t="shared" si="4"/>
        <v>46340</v>
      </c>
      <c r="B83" s="6" t="str">
        <f>CHOOSE(MOD(MATCH(B82,{"Monday","Tuesday","Wednesday","Thursday","Friday","Saturday"},0),6)+1,"Monday","Tuesday","Wednesday","Thursday","Friday","Saturday")</f>
        <v>Saturday</v>
      </c>
      <c r="C83" s="6">
        <v>17</v>
      </c>
      <c r="D83" s="6" t="s">
        <v>304</v>
      </c>
      <c r="E83" s="6" t="s">
        <v>311</v>
      </c>
      <c r="F83" s="6" t="s">
        <v>312</v>
      </c>
      <c r="G83" s="6">
        <v>60</v>
      </c>
      <c r="H83" s="6">
        <v>45</v>
      </c>
      <c r="I83" s="6">
        <v>45</v>
      </c>
      <c r="J83" s="6">
        <v>30</v>
      </c>
      <c r="K83" s="6">
        <v>180</v>
      </c>
      <c r="L83" s="6" t="s">
        <v>313</v>
      </c>
      <c r="M83" s="6" t="s">
        <v>52</v>
      </c>
      <c r="N83" s="7"/>
      <c r="O83" s="6"/>
      <c r="P83" s="8">
        <f t="shared" si="5"/>
        <v>0</v>
      </c>
    </row>
    <row r="84" spans="1:16" ht="43.2" customHeight="1">
      <c r="A84" s="5">
        <f t="shared" si="4"/>
        <v>46342</v>
      </c>
      <c r="B84" s="6" t="str">
        <f>CHOOSE(MOD(MATCH(B83,{"Monday","Tuesday","Wednesday","Thursday","Friday","Saturday"},0),6)+1,"Monday","Tuesday","Wednesday","Thursday","Friday","Saturday")</f>
        <v>Monday</v>
      </c>
      <c r="C84" s="6">
        <v>17</v>
      </c>
      <c r="D84" s="6" t="s">
        <v>304</v>
      </c>
      <c r="E84" s="6" t="s">
        <v>314</v>
      </c>
      <c r="F84" s="6" t="s">
        <v>315</v>
      </c>
      <c r="G84" s="6">
        <v>60</v>
      </c>
      <c r="H84" s="6">
        <v>45</v>
      </c>
      <c r="I84" s="6">
        <v>45</v>
      </c>
      <c r="J84" s="6">
        <v>30</v>
      </c>
      <c r="K84" s="6">
        <v>180</v>
      </c>
      <c r="L84" s="6" t="s">
        <v>316</v>
      </c>
      <c r="M84" s="6" t="s">
        <v>52</v>
      </c>
      <c r="N84" s="7"/>
      <c r="O84" s="6"/>
      <c r="P84" s="8">
        <f t="shared" si="5"/>
        <v>0</v>
      </c>
    </row>
    <row r="85" spans="1:16" ht="43.2" customHeight="1">
      <c r="A85" s="5">
        <f t="shared" si="4"/>
        <v>46343</v>
      </c>
      <c r="B85" s="6" t="str">
        <f>CHOOSE(MOD(MATCH(B84,{"Monday","Tuesday","Wednesday","Thursday","Friday","Saturday"},0),6)+1,"Monday","Tuesday","Wednesday","Thursday","Friday","Saturday")</f>
        <v>Tuesday</v>
      </c>
      <c r="C85" s="6">
        <v>17</v>
      </c>
      <c r="D85" s="6" t="s">
        <v>304</v>
      </c>
      <c r="E85" s="6" t="s">
        <v>317</v>
      </c>
      <c r="F85" s="6" t="s">
        <v>318</v>
      </c>
      <c r="G85" s="6">
        <v>60</v>
      </c>
      <c r="H85" s="6">
        <v>45</v>
      </c>
      <c r="I85" s="6">
        <v>45</v>
      </c>
      <c r="J85" s="6">
        <v>30</v>
      </c>
      <c r="K85" s="6">
        <v>180</v>
      </c>
      <c r="L85" s="6" t="s">
        <v>319</v>
      </c>
      <c r="M85" s="6" t="s">
        <v>52</v>
      </c>
      <c r="N85" s="7"/>
      <c r="O85" s="6"/>
      <c r="P85" s="8">
        <f t="shared" si="5"/>
        <v>0</v>
      </c>
    </row>
    <row r="86" spans="1:16" ht="43.2" customHeight="1">
      <c r="A86" s="5">
        <f t="shared" si="4"/>
        <v>46344</v>
      </c>
      <c r="B86" s="6" t="str">
        <f>CHOOSE(MOD(MATCH(B85,{"Monday","Tuesday","Wednesday","Thursday","Friday","Saturday"},0),6)+1,"Monday","Tuesday","Wednesday","Thursday","Friday","Saturday")</f>
        <v>Wednesday</v>
      </c>
      <c r="C86" s="6">
        <v>17</v>
      </c>
      <c r="D86" s="6" t="s">
        <v>304</v>
      </c>
      <c r="E86" s="6" t="s">
        <v>320</v>
      </c>
      <c r="F86" s="6" t="s">
        <v>321</v>
      </c>
      <c r="G86" s="6">
        <v>60</v>
      </c>
      <c r="H86" s="6">
        <v>45</v>
      </c>
      <c r="I86" s="6">
        <v>45</v>
      </c>
      <c r="J86" s="6">
        <v>30</v>
      </c>
      <c r="K86" s="6">
        <v>180</v>
      </c>
      <c r="L86" s="6" t="s">
        <v>322</v>
      </c>
      <c r="M86" s="6" t="s">
        <v>52</v>
      </c>
      <c r="N86" s="7"/>
      <c r="O86" s="6"/>
      <c r="P86" s="8">
        <f t="shared" si="5"/>
        <v>0</v>
      </c>
    </row>
    <row r="87" spans="1:16" ht="43.2" customHeight="1">
      <c r="A87" s="5">
        <f t="shared" si="4"/>
        <v>46345</v>
      </c>
      <c r="B87" s="6" t="str">
        <f>CHOOSE(MOD(MATCH(B86,{"Monday","Tuesday","Wednesday","Thursday","Friday","Saturday"},0),6)+1,"Monday","Tuesday","Wednesday","Thursday","Friday","Saturday")</f>
        <v>Thursday</v>
      </c>
      <c r="C87" s="6">
        <v>18</v>
      </c>
      <c r="D87" s="6" t="s">
        <v>323</v>
      </c>
      <c r="E87" s="6" t="s">
        <v>324</v>
      </c>
      <c r="F87" s="6" t="s">
        <v>325</v>
      </c>
      <c r="G87" s="6">
        <v>60</v>
      </c>
      <c r="H87" s="6">
        <v>45</v>
      </c>
      <c r="I87" s="6">
        <v>45</v>
      </c>
      <c r="J87" s="6">
        <v>30</v>
      </c>
      <c r="K87" s="6">
        <v>180</v>
      </c>
      <c r="L87" s="6" t="s">
        <v>326</v>
      </c>
      <c r="M87" s="6" t="s">
        <v>52</v>
      </c>
      <c r="N87" s="7"/>
      <c r="O87" s="6"/>
      <c r="P87" s="8">
        <f t="shared" si="5"/>
        <v>0</v>
      </c>
    </row>
    <row r="88" spans="1:16" ht="43.2" customHeight="1">
      <c r="A88" s="5">
        <f t="shared" si="4"/>
        <v>46346</v>
      </c>
      <c r="B88" s="6" t="str">
        <f>CHOOSE(MOD(MATCH(B87,{"Monday","Tuesday","Wednesday","Thursday","Friday","Saturday"},0),6)+1,"Monday","Tuesday","Wednesday","Thursday","Friday","Saturday")</f>
        <v>Friday</v>
      </c>
      <c r="C88" s="6">
        <v>18</v>
      </c>
      <c r="D88" s="6" t="s">
        <v>323</v>
      </c>
      <c r="E88" s="6" t="s">
        <v>327</v>
      </c>
      <c r="F88" s="6" t="s">
        <v>328</v>
      </c>
      <c r="G88" s="6">
        <v>60</v>
      </c>
      <c r="H88" s="6">
        <v>45</v>
      </c>
      <c r="I88" s="6">
        <v>45</v>
      </c>
      <c r="J88" s="6">
        <v>30</v>
      </c>
      <c r="K88" s="6">
        <v>180</v>
      </c>
      <c r="L88" s="6" t="s">
        <v>329</v>
      </c>
      <c r="M88" s="6" t="s">
        <v>52</v>
      </c>
      <c r="N88" s="7"/>
      <c r="O88" s="6"/>
      <c r="P88" s="8">
        <f t="shared" si="5"/>
        <v>0</v>
      </c>
    </row>
    <row r="89" spans="1:16" ht="43.2" customHeight="1">
      <c r="A89" s="5">
        <f t="shared" si="4"/>
        <v>46347</v>
      </c>
      <c r="B89" s="6" t="str">
        <f>CHOOSE(MOD(MATCH(B88,{"Monday","Tuesday","Wednesday","Thursday","Friday","Saturday"},0),6)+1,"Monday","Tuesday","Wednesday","Thursday","Friday","Saturday")</f>
        <v>Saturday</v>
      </c>
      <c r="C89" s="6">
        <v>18</v>
      </c>
      <c r="D89" s="6" t="s">
        <v>323</v>
      </c>
      <c r="E89" s="6" t="s">
        <v>330</v>
      </c>
      <c r="F89" s="6" t="s">
        <v>331</v>
      </c>
      <c r="G89" s="6">
        <v>60</v>
      </c>
      <c r="H89" s="6">
        <v>45</v>
      </c>
      <c r="I89" s="6">
        <v>45</v>
      </c>
      <c r="J89" s="6">
        <v>30</v>
      </c>
      <c r="K89" s="6">
        <v>180</v>
      </c>
      <c r="L89" s="6" t="s">
        <v>332</v>
      </c>
      <c r="M89" s="6" t="s">
        <v>52</v>
      </c>
      <c r="N89" s="7"/>
      <c r="O89" s="6"/>
      <c r="P89" s="8">
        <f t="shared" si="5"/>
        <v>0</v>
      </c>
    </row>
    <row r="90" spans="1:16" ht="43.2" customHeight="1">
      <c r="A90" s="5">
        <f t="shared" si="4"/>
        <v>46349</v>
      </c>
      <c r="B90" s="6" t="str">
        <f>CHOOSE(MOD(MATCH(B89,{"Monday","Tuesday","Wednesday","Thursday","Friday","Saturday"},0),6)+1,"Monday","Tuesday","Wednesday","Thursday","Friday","Saturday")</f>
        <v>Monday</v>
      </c>
      <c r="C90" s="6">
        <v>18</v>
      </c>
      <c r="D90" s="6" t="s">
        <v>323</v>
      </c>
      <c r="E90" s="6" t="s">
        <v>333</v>
      </c>
      <c r="F90" s="6" t="s">
        <v>334</v>
      </c>
      <c r="G90" s="6">
        <v>60</v>
      </c>
      <c r="H90" s="6">
        <v>45</v>
      </c>
      <c r="I90" s="6">
        <v>45</v>
      </c>
      <c r="J90" s="6">
        <v>30</v>
      </c>
      <c r="K90" s="6">
        <v>180</v>
      </c>
      <c r="L90" s="6" t="s">
        <v>335</v>
      </c>
      <c r="M90" s="6" t="s">
        <v>52</v>
      </c>
      <c r="N90" s="7"/>
      <c r="O90" s="6"/>
      <c r="P90" s="8">
        <f t="shared" si="5"/>
        <v>0</v>
      </c>
    </row>
    <row r="91" spans="1:16" ht="43.2" customHeight="1">
      <c r="A91" s="5">
        <f t="shared" si="4"/>
        <v>46350</v>
      </c>
      <c r="B91" s="6" t="str">
        <f>CHOOSE(MOD(MATCH(B90,{"Monday","Tuesday","Wednesday","Thursday","Friday","Saturday"},0),6)+1,"Monday","Tuesday","Wednesday","Thursday","Friday","Saturday")</f>
        <v>Tuesday</v>
      </c>
      <c r="C91" s="6">
        <v>18</v>
      </c>
      <c r="D91" s="6" t="s">
        <v>323</v>
      </c>
      <c r="E91" s="6" t="s">
        <v>336</v>
      </c>
      <c r="F91" s="6" t="s">
        <v>337</v>
      </c>
      <c r="G91" s="6">
        <v>60</v>
      </c>
      <c r="H91" s="6">
        <v>45</v>
      </c>
      <c r="I91" s="6">
        <v>45</v>
      </c>
      <c r="J91" s="6">
        <v>30</v>
      </c>
      <c r="K91" s="6">
        <v>180</v>
      </c>
      <c r="L91" s="6" t="s">
        <v>338</v>
      </c>
      <c r="M91" s="6" t="s">
        <v>52</v>
      </c>
      <c r="N91" s="7"/>
      <c r="O91" s="6"/>
      <c r="P91" s="8">
        <f t="shared" si="5"/>
        <v>0</v>
      </c>
    </row>
    <row r="92" spans="1:16" ht="43.2" customHeight="1">
      <c r="A92" s="5">
        <f t="shared" si="4"/>
        <v>46351</v>
      </c>
      <c r="B92" s="6" t="str">
        <f>CHOOSE(MOD(MATCH(B91,{"Monday","Tuesday","Wednesday","Thursday","Friday","Saturday"},0),6)+1,"Monday","Tuesday","Wednesday","Thursday","Friday","Saturday")</f>
        <v>Wednesday</v>
      </c>
      <c r="C92" s="6">
        <v>18</v>
      </c>
      <c r="D92" s="6" t="s">
        <v>323</v>
      </c>
      <c r="E92" s="6" t="s">
        <v>339</v>
      </c>
      <c r="F92" s="6" t="s">
        <v>340</v>
      </c>
      <c r="G92" s="6">
        <v>60</v>
      </c>
      <c r="H92" s="6">
        <v>45</v>
      </c>
      <c r="I92" s="6">
        <v>45</v>
      </c>
      <c r="J92" s="6">
        <v>30</v>
      </c>
      <c r="K92" s="6">
        <v>180</v>
      </c>
      <c r="L92" s="6" t="s">
        <v>341</v>
      </c>
      <c r="M92" s="6" t="s">
        <v>52</v>
      </c>
      <c r="N92" s="7"/>
      <c r="O92" s="6"/>
      <c r="P92" s="8">
        <f t="shared" si="5"/>
        <v>0</v>
      </c>
    </row>
    <row r="93" spans="1:16" ht="43.2" customHeight="1">
      <c r="A93" s="5">
        <f t="shared" si="4"/>
        <v>46352</v>
      </c>
      <c r="B93" s="6" t="str">
        <f>CHOOSE(MOD(MATCH(B92,{"Monday","Tuesday","Wednesday","Thursday","Friday","Saturday"},0),6)+1,"Monday","Tuesday","Wednesday","Thursday","Friday","Saturday")</f>
        <v>Thursday</v>
      </c>
      <c r="C93" s="6">
        <v>19</v>
      </c>
      <c r="D93" s="6" t="s">
        <v>342</v>
      </c>
      <c r="E93" s="6" t="s">
        <v>343</v>
      </c>
      <c r="F93" s="6" t="s">
        <v>344</v>
      </c>
      <c r="G93" s="6">
        <v>60</v>
      </c>
      <c r="H93" s="6">
        <v>45</v>
      </c>
      <c r="I93" s="6">
        <v>45</v>
      </c>
      <c r="J93" s="6">
        <v>30</v>
      </c>
      <c r="K93" s="6">
        <v>180</v>
      </c>
      <c r="L93" s="6" t="s">
        <v>345</v>
      </c>
      <c r="M93" s="6" t="s">
        <v>52</v>
      </c>
      <c r="N93" s="7"/>
      <c r="O93" s="6"/>
      <c r="P93" s="8">
        <f t="shared" si="5"/>
        <v>0</v>
      </c>
    </row>
    <row r="94" spans="1:16" ht="43.2" customHeight="1">
      <c r="A94" s="5">
        <f t="shared" si="4"/>
        <v>46353</v>
      </c>
      <c r="B94" s="6" t="str">
        <f>CHOOSE(MOD(MATCH(B93,{"Monday","Tuesday","Wednesday","Thursday","Friday","Saturday"},0),6)+1,"Monday","Tuesday","Wednesday","Thursday","Friday","Saturday")</f>
        <v>Friday</v>
      </c>
      <c r="C94" s="6">
        <v>19</v>
      </c>
      <c r="D94" s="6" t="s">
        <v>342</v>
      </c>
      <c r="E94" s="6" t="s">
        <v>346</v>
      </c>
      <c r="F94" s="6" t="s">
        <v>347</v>
      </c>
      <c r="G94" s="6">
        <v>60</v>
      </c>
      <c r="H94" s="6">
        <v>45</v>
      </c>
      <c r="I94" s="6">
        <v>45</v>
      </c>
      <c r="J94" s="6">
        <v>30</v>
      </c>
      <c r="K94" s="6">
        <v>180</v>
      </c>
      <c r="L94" s="6" t="s">
        <v>348</v>
      </c>
      <c r="M94" s="6" t="s">
        <v>52</v>
      </c>
      <c r="N94" s="7"/>
      <c r="O94" s="6"/>
      <c r="P94" s="8">
        <f t="shared" si="5"/>
        <v>0</v>
      </c>
    </row>
    <row r="95" spans="1:16" ht="43.2" customHeight="1">
      <c r="A95" s="5">
        <f t="shared" si="4"/>
        <v>46354</v>
      </c>
      <c r="B95" s="6" t="str">
        <f>CHOOSE(MOD(MATCH(B94,{"Monday","Tuesday","Wednesday","Thursday","Friday","Saturday"},0),6)+1,"Monday","Tuesday","Wednesday","Thursday","Friday","Saturday")</f>
        <v>Saturday</v>
      </c>
      <c r="C95" s="6">
        <v>19</v>
      </c>
      <c r="D95" s="6" t="s">
        <v>342</v>
      </c>
      <c r="E95" s="6" t="s">
        <v>349</v>
      </c>
      <c r="F95" s="6" t="s">
        <v>350</v>
      </c>
      <c r="G95" s="6">
        <v>60</v>
      </c>
      <c r="H95" s="6">
        <v>45</v>
      </c>
      <c r="I95" s="6">
        <v>45</v>
      </c>
      <c r="J95" s="6">
        <v>30</v>
      </c>
      <c r="K95" s="6">
        <v>180</v>
      </c>
      <c r="L95" s="6" t="s">
        <v>351</v>
      </c>
      <c r="M95" s="6" t="s">
        <v>52</v>
      </c>
      <c r="N95" s="7"/>
      <c r="O95" s="6"/>
      <c r="P95" s="8">
        <f t="shared" si="5"/>
        <v>0</v>
      </c>
    </row>
    <row r="96" spans="1:16" ht="43.2" customHeight="1">
      <c r="A96" s="5">
        <f t="shared" si="4"/>
        <v>46356</v>
      </c>
      <c r="B96" s="6" t="str">
        <f>CHOOSE(MOD(MATCH(B95,{"Monday","Tuesday","Wednesday","Thursday","Friday","Saturday"},0),6)+1,"Monday","Tuesday","Wednesday","Thursday","Friday","Saturday")</f>
        <v>Monday</v>
      </c>
      <c r="C96" s="6">
        <v>19</v>
      </c>
      <c r="D96" s="6" t="s">
        <v>342</v>
      </c>
      <c r="E96" s="6" t="s">
        <v>352</v>
      </c>
      <c r="F96" s="6" t="s">
        <v>353</v>
      </c>
      <c r="G96" s="6">
        <v>60</v>
      </c>
      <c r="H96" s="6">
        <v>45</v>
      </c>
      <c r="I96" s="6">
        <v>45</v>
      </c>
      <c r="J96" s="6">
        <v>30</v>
      </c>
      <c r="K96" s="6">
        <v>180</v>
      </c>
      <c r="L96" s="6" t="s">
        <v>354</v>
      </c>
      <c r="M96" s="6" t="s">
        <v>52</v>
      </c>
      <c r="N96" s="7"/>
      <c r="O96" s="6"/>
      <c r="P96" s="8">
        <f t="shared" si="5"/>
        <v>0</v>
      </c>
    </row>
    <row r="97" spans="1:16" ht="43.2" customHeight="1">
      <c r="A97" s="5">
        <f t="shared" si="4"/>
        <v>46357</v>
      </c>
      <c r="B97" s="6" t="str">
        <f>CHOOSE(MOD(MATCH(B96,{"Monday","Tuesday","Wednesday","Thursday","Friday","Saturday"},0),6)+1,"Monday","Tuesday","Wednesday","Thursday","Friday","Saturday")</f>
        <v>Tuesday</v>
      </c>
      <c r="C97" s="6">
        <v>19</v>
      </c>
      <c r="D97" s="6" t="s">
        <v>342</v>
      </c>
      <c r="E97" s="6" t="s">
        <v>355</v>
      </c>
      <c r="F97" s="6" t="s">
        <v>356</v>
      </c>
      <c r="G97" s="6">
        <v>60</v>
      </c>
      <c r="H97" s="6">
        <v>45</v>
      </c>
      <c r="I97" s="6">
        <v>45</v>
      </c>
      <c r="J97" s="6">
        <v>30</v>
      </c>
      <c r="K97" s="6">
        <v>180</v>
      </c>
      <c r="L97" s="6" t="s">
        <v>357</v>
      </c>
      <c r="M97" s="6" t="s">
        <v>52</v>
      </c>
      <c r="N97" s="7"/>
      <c r="O97" s="6"/>
      <c r="P97" s="8">
        <f t="shared" si="5"/>
        <v>0</v>
      </c>
    </row>
    <row r="98" spans="1:16" ht="43.2" customHeight="1">
      <c r="A98" s="5">
        <f t="shared" si="4"/>
        <v>46358</v>
      </c>
      <c r="B98" s="6" t="str">
        <f>CHOOSE(MOD(MATCH(B97,{"Monday","Tuesday","Wednesday","Thursday","Friday","Saturday"},0),6)+1,"Monday","Tuesday","Wednesday","Thursday","Friday","Saturday")</f>
        <v>Wednesday</v>
      </c>
      <c r="C98" s="6">
        <v>19</v>
      </c>
      <c r="D98" s="6" t="s">
        <v>342</v>
      </c>
      <c r="E98" s="6" t="s">
        <v>358</v>
      </c>
      <c r="F98" s="6" t="s">
        <v>359</v>
      </c>
      <c r="G98" s="6">
        <v>60</v>
      </c>
      <c r="H98" s="6">
        <v>45</v>
      </c>
      <c r="I98" s="6">
        <v>45</v>
      </c>
      <c r="J98" s="6">
        <v>30</v>
      </c>
      <c r="K98" s="6">
        <v>180</v>
      </c>
      <c r="L98" s="6" t="s">
        <v>360</v>
      </c>
      <c r="M98" s="6" t="s">
        <v>52</v>
      </c>
      <c r="N98" s="7"/>
      <c r="O98" s="6"/>
      <c r="P98" s="8">
        <f t="shared" si="5"/>
        <v>0</v>
      </c>
    </row>
    <row r="99" spans="1:16" ht="43.2" customHeight="1">
      <c r="A99" s="5">
        <f t="shared" si="4"/>
        <v>46359</v>
      </c>
      <c r="B99" s="6" t="str">
        <f>CHOOSE(MOD(MATCH(B98,{"Monday","Tuesday","Wednesday","Thursday","Friday","Saturday"},0),6)+1,"Monday","Tuesday","Wednesday","Thursday","Friday","Saturday")</f>
        <v>Thursday</v>
      </c>
      <c r="C99" s="6">
        <v>20</v>
      </c>
      <c r="D99" s="6" t="s">
        <v>361</v>
      </c>
      <c r="E99" s="6" t="s">
        <v>362</v>
      </c>
      <c r="F99" s="6" t="s">
        <v>363</v>
      </c>
      <c r="G99" s="6">
        <v>60</v>
      </c>
      <c r="H99" s="6">
        <v>45</v>
      </c>
      <c r="I99" s="6">
        <v>45</v>
      </c>
      <c r="J99" s="6">
        <v>30</v>
      </c>
      <c r="K99" s="6">
        <v>180</v>
      </c>
      <c r="L99" s="6" t="s">
        <v>364</v>
      </c>
      <c r="M99" s="6" t="s">
        <v>52</v>
      </c>
      <c r="N99" s="7"/>
      <c r="O99" s="6"/>
      <c r="P99" s="8">
        <f t="shared" si="5"/>
        <v>0</v>
      </c>
    </row>
    <row r="100" spans="1:16" ht="43.2" customHeight="1">
      <c r="A100" s="5">
        <f t="shared" si="4"/>
        <v>46360</v>
      </c>
      <c r="B100" s="6" t="str">
        <f>CHOOSE(MOD(MATCH(B99,{"Monday","Tuesday","Wednesday","Thursday","Friday","Saturday"},0),6)+1,"Monday","Tuesday","Wednesday","Thursday","Friday","Saturday")</f>
        <v>Friday</v>
      </c>
      <c r="C100" s="6">
        <v>20</v>
      </c>
      <c r="D100" s="6" t="s">
        <v>361</v>
      </c>
      <c r="E100" s="6" t="s">
        <v>365</v>
      </c>
      <c r="F100" s="6" t="s">
        <v>366</v>
      </c>
      <c r="G100" s="6">
        <v>60</v>
      </c>
      <c r="H100" s="6">
        <v>45</v>
      </c>
      <c r="I100" s="6">
        <v>45</v>
      </c>
      <c r="J100" s="6">
        <v>30</v>
      </c>
      <c r="K100" s="6">
        <v>180</v>
      </c>
      <c r="L100" s="6" t="s">
        <v>367</v>
      </c>
      <c r="M100" s="6" t="s">
        <v>52</v>
      </c>
      <c r="N100" s="7"/>
      <c r="O100" s="6"/>
      <c r="P100" s="8">
        <f t="shared" si="5"/>
        <v>0</v>
      </c>
    </row>
    <row r="101" spans="1:16" ht="43.2" customHeight="1">
      <c r="A101" s="5">
        <f t="shared" si="4"/>
        <v>46361</v>
      </c>
      <c r="B101" s="6" t="str">
        <f>CHOOSE(MOD(MATCH(B100,{"Monday","Tuesday","Wednesday","Thursday","Friday","Saturday"},0),6)+1,"Monday","Tuesday","Wednesday","Thursday","Friday","Saturday")</f>
        <v>Saturday</v>
      </c>
      <c r="C101" s="6">
        <v>20</v>
      </c>
      <c r="D101" s="6" t="s">
        <v>361</v>
      </c>
      <c r="E101" s="6" t="s">
        <v>368</v>
      </c>
      <c r="F101" s="6" t="s">
        <v>369</v>
      </c>
      <c r="G101" s="6">
        <v>60</v>
      </c>
      <c r="H101" s="6">
        <v>45</v>
      </c>
      <c r="I101" s="6">
        <v>45</v>
      </c>
      <c r="J101" s="6">
        <v>30</v>
      </c>
      <c r="K101" s="6">
        <v>180</v>
      </c>
      <c r="L101" s="6" t="s">
        <v>370</v>
      </c>
      <c r="M101" s="6" t="s">
        <v>52</v>
      </c>
      <c r="N101" s="7"/>
      <c r="O101" s="6"/>
      <c r="P101" s="8">
        <f t="shared" si="5"/>
        <v>0</v>
      </c>
    </row>
    <row r="102" spans="1:16" ht="43.2" customHeight="1">
      <c r="A102" s="5">
        <f t="shared" si="4"/>
        <v>46363</v>
      </c>
      <c r="B102" s="6" t="str">
        <f>CHOOSE(MOD(MATCH(B101,{"Monday","Tuesday","Wednesday","Thursday","Friday","Saturday"},0),6)+1,"Monday","Tuesday","Wednesday","Thursday","Friday","Saturday")</f>
        <v>Monday</v>
      </c>
      <c r="C102" s="6">
        <v>20</v>
      </c>
      <c r="D102" s="6" t="s">
        <v>361</v>
      </c>
      <c r="E102" s="6" t="s">
        <v>371</v>
      </c>
      <c r="F102" s="6" t="s">
        <v>372</v>
      </c>
      <c r="G102" s="6">
        <v>60</v>
      </c>
      <c r="H102" s="6">
        <v>45</v>
      </c>
      <c r="I102" s="6">
        <v>45</v>
      </c>
      <c r="J102" s="6">
        <v>30</v>
      </c>
      <c r="K102" s="6">
        <v>180</v>
      </c>
      <c r="L102" s="6" t="s">
        <v>373</v>
      </c>
      <c r="M102" s="6" t="s">
        <v>52</v>
      </c>
      <c r="N102" s="7"/>
      <c r="O102" s="6"/>
      <c r="P102" s="8">
        <f t="shared" si="5"/>
        <v>0</v>
      </c>
    </row>
    <row r="103" spans="1:16" ht="43.2" customHeight="1">
      <c r="A103" s="5">
        <f t="shared" si="4"/>
        <v>46364</v>
      </c>
      <c r="B103" s="6" t="str">
        <f>CHOOSE(MOD(MATCH(B102,{"Monday","Tuesday","Wednesday","Thursday","Friday","Saturday"},0),6)+1,"Monday","Tuesday","Wednesday","Thursday","Friday","Saturday")</f>
        <v>Tuesday</v>
      </c>
      <c r="C103" s="6">
        <v>20</v>
      </c>
      <c r="D103" s="6" t="s">
        <v>361</v>
      </c>
      <c r="E103" s="6" t="s">
        <v>374</v>
      </c>
      <c r="F103" s="6" t="s">
        <v>375</v>
      </c>
      <c r="G103" s="6">
        <v>60</v>
      </c>
      <c r="H103" s="6">
        <v>45</v>
      </c>
      <c r="I103" s="6">
        <v>45</v>
      </c>
      <c r="J103" s="6">
        <v>30</v>
      </c>
      <c r="K103" s="6">
        <v>180</v>
      </c>
      <c r="L103" s="6" t="s">
        <v>376</v>
      </c>
      <c r="M103" s="6" t="s">
        <v>52</v>
      </c>
      <c r="N103" s="7"/>
      <c r="O103" s="6"/>
      <c r="P103" s="8">
        <f t="shared" si="5"/>
        <v>0</v>
      </c>
    </row>
    <row r="104" spans="1:16" ht="43.2" customHeight="1">
      <c r="A104" s="5">
        <f t="shared" si="4"/>
        <v>46365</v>
      </c>
      <c r="B104" s="6" t="str">
        <f>CHOOSE(MOD(MATCH(B103,{"Monday","Tuesday","Wednesday","Thursday","Friday","Saturday"},0),6)+1,"Monday","Tuesday","Wednesday","Thursday","Friday","Saturday")</f>
        <v>Wednesday</v>
      </c>
      <c r="C104" s="6">
        <v>20</v>
      </c>
      <c r="D104" s="6" t="s">
        <v>361</v>
      </c>
      <c r="E104" s="6" t="s">
        <v>377</v>
      </c>
      <c r="F104" s="6" t="s">
        <v>378</v>
      </c>
      <c r="G104" s="6">
        <v>60</v>
      </c>
      <c r="H104" s="6">
        <v>45</v>
      </c>
      <c r="I104" s="6">
        <v>45</v>
      </c>
      <c r="J104" s="6">
        <v>30</v>
      </c>
      <c r="K104" s="6">
        <v>180</v>
      </c>
      <c r="L104" s="6" t="s">
        <v>379</v>
      </c>
      <c r="M104" s="6" t="s">
        <v>52</v>
      </c>
      <c r="N104" s="7"/>
      <c r="O104" s="6"/>
      <c r="P104" s="8">
        <f t="shared" si="5"/>
        <v>0</v>
      </c>
    </row>
    <row r="105" spans="1:16" ht="43.2" customHeight="1">
      <c r="A105" s="5">
        <f t="shared" si="4"/>
        <v>46366</v>
      </c>
      <c r="B105" s="6" t="str">
        <f>CHOOSE(MOD(MATCH(B104,{"Monday","Tuesday","Wednesday","Thursday","Friday","Saturday"},0),6)+1,"Monday","Tuesday","Wednesday","Thursday","Friday","Saturday")</f>
        <v>Thursday</v>
      </c>
      <c r="C105" s="6">
        <v>21</v>
      </c>
      <c r="D105" s="6" t="s">
        <v>380</v>
      </c>
      <c r="E105" s="6" t="s">
        <v>381</v>
      </c>
      <c r="F105" s="6" t="s">
        <v>382</v>
      </c>
      <c r="G105" s="6">
        <v>60</v>
      </c>
      <c r="H105" s="6">
        <v>45</v>
      </c>
      <c r="I105" s="6">
        <v>45</v>
      </c>
      <c r="J105" s="6">
        <v>30</v>
      </c>
      <c r="K105" s="6">
        <v>180</v>
      </c>
      <c r="L105" s="6" t="s">
        <v>383</v>
      </c>
      <c r="M105" s="6" t="s">
        <v>52</v>
      </c>
      <c r="N105" s="7"/>
      <c r="O105" s="6"/>
      <c r="P105" s="8">
        <f t="shared" si="5"/>
        <v>0</v>
      </c>
    </row>
    <row r="106" spans="1:16" ht="43.2" customHeight="1">
      <c r="A106" s="5">
        <f t="shared" si="4"/>
        <v>46367</v>
      </c>
      <c r="B106" s="6" t="str">
        <f>CHOOSE(MOD(MATCH(B105,{"Monday","Tuesday","Wednesday","Thursday","Friday","Saturday"},0),6)+1,"Monday","Tuesday","Wednesday","Thursday","Friday","Saturday")</f>
        <v>Friday</v>
      </c>
      <c r="C106" s="6">
        <v>21</v>
      </c>
      <c r="D106" s="6" t="s">
        <v>380</v>
      </c>
      <c r="E106" s="6" t="s">
        <v>384</v>
      </c>
      <c r="F106" s="6" t="s">
        <v>385</v>
      </c>
      <c r="G106" s="6">
        <v>60</v>
      </c>
      <c r="H106" s="6">
        <v>45</v>
      </c>
      <c r="I106" s="6">
        <v>45</v>
      </c>
      <c r="J106" s="6">
        <v>30</v>
      </c>
      <c r="K106" s="6">
        <v>180</v>
      </c>
      <c r="L106" s="6" t="s">
        <v>386</v>
      </c>
      <c r="M106" s="6" t="s">
        <v>52</v>
      </c>
      <c r="N106" s="7"/>
      <c r="O106" s="6"/>
      <c r="P106" s="8">
        <f t="shared" si="5"/>
        <v>0</v>
      </c>
    </row>
    <row r="107" spans="1:16" ht="43.2" customHeight="1">
      <c r="A107" s="5">
        <f t="shared" si="4"/>
        <v>46368</v>
      </c>
      <c r="B107" s="6" t="str">
        <f>CHOOSE(MOD(MATCH(B106,{"Monday","Tuesday","Wednesday","Thursday","Friday","Saturday"},0),6)+1,"Monday","Tuesday","Wednesday","Thursday","Friday","Saturday")</f>
        <v>Saturday</v>
      </c>
      <c r="C107" s="6">
        <v>21</v>
      </c>
      <c r="D107" s="6" t="s">
        <v>380</v>
      </c>
      <c r="E107" s="6" t="s">
        <v>387</v>
      </c>
      <c r="F107" s="6" t="s">
        <v>388</v>
      </c>
      <c r="G107" s="6">
        <v>60</v>
      </c>
      <c r="H107" s="6">
        <v>45</v>
      </c>
      <c r="I107" s="6">
        <v>45</v>
      </c>
      <c r="J107" s="6">
        <v>30</v>
      </c>
      <c r="K107" s="6">
        <v>180</v>
      </c>
      <c r="L107" s="6" t="s">
        <v>389</v>
      </c>
      <c r="M107" s="6" t="s">
        <v>52</v>
      </c>
      <c r="N107" s="7"/>
      <c r="O107" s="6"/>
      <c r="P107" s="8">
        <f t="shared" si="5"/>
        <v>0</v>
      </c>
    </row>
    <row r="108" spans="1:16" ht="43.2" customHeight="1">
      <c r="A108" s="5">
        <f t="shared" si="4"/>
        <v>46370</v>
      </c>
      <c r="B108" s="6" t="str">
        <f>CHOOSE(MOD(MATCH(B107,{"Monday","Tuesday","Wednesday","Thursday","Friday","Saturday"},0),6)+1,"Monday","Tuesday","Wednesday","Thursday","Friday","Saturday")</f>
        <v>Monday</v>
      </c>
      <c r="C108" s="6">
        <v>21</v>
      </c>
      <c r="D108" s="6" t="s">
        <v>380</v>
      </c>
      <c r="E108" s="6" t="s">
        <v>390</v>
      </c>
      <c r="F108" s="6" t="s">
        <v>391</v>
      </c>
      <c r="G108" s="6">
        <v>60</v>
      </c>
      <c r="H108" s="6">
        <v>45</v>
      </c>
      <c r="I108" s="6">
        <v>45</v>
      </c>
      <c r="J108" s="6">
        <v>30</v>
      </c>
      <c r="K108" s="6">
        <v>180</v>
      </c>
      <c r="L108" s="6" t="s">
        <v>392</v>
      </c>
      <c r="M108" s="6" t="s">
        <v>52</v>
      </c>
      <c r="N108" s="7"/>
      <c r="O108" s="6"/>
      <c r="P108" s="8">
        <f t="shared" si="5"/>
        <v>0</v>
      </c>
    </row>
    <row r="109" spans="1:16" ht="43.2" customHeight="1">
      <c r="A109" s="5">
        <f t="shared" si="4"/>
        <v>46371</v>
      </c>
      <c r="B109" s="6" t="str">
        <f>CHOOSE(MOD(MATCH(B108,{"Monday","Tuesday","Wednesday","Thursday","Friday","Saturday"},0),6)+1,"Monday","Tuesday","Wednesday","Thursday","Friday","Saturday")</f>
        <v>Tuesday</v>
      </c>
      <c r="C109" s="6">
        <v>21</v>
      </c>
      <c r="D109" s="6" t="s">
        <v>380</v>
      </c>
      <c r="E109" s="6" t="s">
        <v>393</v>
      </c>
      <c r="F109" s="6" t="s">
        <v>394</v>
      </c>
      <c r="G109" s="6">
        <v>60</v>
      </c>
      <c r="H109" s="6">
        <v>45</v>
      </c>
      <c r="I109" s="6">
        <v>45</v>
      </c>
      <c r="J109" s="6">
        <v>30</v>
      </c>
      <c r="K109" s="6">
        <v>180</v>
      </c>
      <c r="L109" s="6" t="s">
        <v>395</v>
      </c>
      <c r="M109" s="6" t="s">
        <v>52</v>
      </c>
      <c r="N109" s="7"/>
      <c r="O109" s="6"/>
      <c r="P109" s="8">
        <f t="shared" si="5"/>
        <v>0</v>
      </c>
    </row>
    <row r="110" spans="1:16" ht="43.2" customHeight="1">
      <c r="A110" s="5">
        <f t="shared" si="4"/>
        <v>46372</v>
      </c>
      <c r="B110" s="6" t="str">
        <f>CHOOSE(MOD(MATCH(B109,{"Monday","Tuesday","Wednesday","Thursday","Friday","Saturday"},0),6)+1,"Monday","Tuesday","Wednesday","Thursday","Friday","Saturday")</f>
        <v>Wednesday</v>
      </c>
      <c r="C110" s="6">
        <v>21</v>
      </c>
      <c r="D110" s="6" t="s">
        <v>380</v>
      </c>
      <c r="E110" s="6" t="s">
        <v>396</v>
      </c>
      <c r="F110" s="6" t="s">
        <v>397</v>
      </c>
      <c r="G110" s="6">
        <v>60</v>
      </c>
      <c r="H110" s="6">
        <v>45</v>
      </c>
      <c r="I110" s="6">
        <v>45</v>
      </c>
      <c r="J110" s="6">
        <v>30</v>
      </c>
      <c r="K110" s="6">
        <v>180</v>
      </c>
      <c r="L110" s="6" t="s">
        <v>398</v>
      </c>
      <c r="M110" s="6" t="s">
        <v>52</v>
      </c>
      <c r="N110" s="7"/>
      <c r="O110" s="6"/>
      <c r="P110" s="8">
        <f t="shared" si="5"/>
        <v>0</v>
      </c>
    </row>
    <row r="111" spans="1:16">
      <c r="D111" t="s">
        <v>525</v>
      </c>
    </row>
    <row r="112" spans="1:16">
      <c r="D112" t="s">
        <v>526</v>
      </c>
    </row>
  </sheetData>
  <phoneticPr fontId="8" type="noConversion"/>
  <conditionalFormatting sqref="M2:M112">
    <cfRule type="expression" dxfId="2" priority="1">
      <formula>M2="Completed"</formula>
    </cfRule>
    <cfRule type="expression" dxfId="1" priority="2">
      <formula>M2="In Progress"</formula>
    </cfRule>
    <cfRule type="expression" dxfId="0" priority="3">
      <formula>M2="Not Started"</formula>
    </cfRule>
  </conditionalFormatting>
  <conditionalFormatting sqref="P2:P112">
    <cfRule type="dataBar" priority="17">
      <dataBar>
        <cfvo type="min"/>
        <cfvo type="max"/>
        <color rgb="FF0F766E"/>
      </dataBar>
    </cfRule>
    <cfRule type="dataBar" priority="18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{29609DDC-297F-3AC9-A9B1-5C39744EC554}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609DDC-297F-3AC9-A9B1-5C39744EC554}">
            <x14:dataBar>
              <x14:cfvo type="min"/>
              <x14:cfvo type="max"/>
              <x14:negativeFillColor auto="1"/>
              <x14:axisColor auto="1"/>
            </x14:dataBar>
          </x14:cfRule>
          <xm:sqref>P2:P112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#REF!</xm:f>
          </x14:formula1>
          <xm:sqref>M2:M112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EA91-0598-4E59-8A8D-600258A3395F}">
  <dimension ref="A1:A252"/>
  <sheetViews>
    <sheetView tabSelected="1" workbookViewId="0">
      <selection activeCell="A90" sqref="A90"/>
    </sheetView>
  </sheetViews>
  <sheetFormatPr defaultRowHeight="13.8"/>
  <cols>
    <col min="1" max="1" width="147.3984375" bestFit="1" customWidth="1"/>
  </cols>
  <sheetData>
    <row r="1" spans="1:1" ht="30">
      <c r="A1" s="14" t="s">
        <v>400</v>
      </c>
    </row>
    <row r="3" spans="1:1" ht="22.8">
      <c r="A3" s="15" t="s">
        <v>401</v>
      </c>
    </row>
    <row r="5" spans="1:1">
      <c r="A5" s="16" t="s">
        <v>402</v>
      </c>
    </row>
    <row r="7" spans="1:1">
      <c r="A7" t="s">
        <v>403</v>
      </c>
    </row>
    <row r="8" spans="1:1">
      <c r="A8" s="17"/>
    </row>
    <row r="9" spans="1:1">
      <c r="A9" s="17" t="s">
        <v>404</v>
      </c>
    </row>
    <row r="10" spans="1:1">
      <c r="A10" s="17" t="s">
        <v>405</v>
      </c>
    </row>
    <row r="11" spans="1:1">
      <c r="A11" s="17" t="s">
        <v>406</v>
      </c>
    </row>
    <row r="15" spans="1:1" ht="22.8">
      <c r="A15" s="15" t="s">
        <v>407</v>
      </c>
    </row>
    <row r="17" spans="1:1">
      <c r="A17" t="s">
        <v>408</v>
      </c>
    </row>
    <row r="19" spans="1:1">
      <c r="A19" t="s">
        <v>403</v>
      </c>
    </row>
    <row r="20" spans="1:1">
      <c r="A20" s="17"/>
    </row>
    <row r="21" spans="1:1">
      <c r="A21" s="17" t="s">
        <v>409</v>
      </c>
    </row>
    <row r="22" spans="1:1">
      <c r="A22" s="17" t="s">
        <v>410</v>
      </c>
    </row>
    <row r="23" spans="1:1">
      <c r="A23" s="17" t="s">
        <v>411</v>
      </c>
    </row>
    <row r="27" spans="1:1" ht="22.8">
      <c r="A27" s="15" t="s">
        <v>412</v>
      </c>
    </row>
    <row r="29" spans="1:1">
      <c r="A29" t="s">
        <v>413</v>
      </c>
    </row>
    <row r="31" spans="1:1">
      <c r="A31" t="s">
        <v>403</v>
      </c>
    </row>
    <row r="32" spans="1:1">
      <c r="A32" s="17"/>
    </row>
    <row r="33" spans="1:1">
      <c r="A33" s="17" t="s">
        <v>414</v>
      </c>
    </row>
    <row r="34" spans="1:1">
      <c r="A34" s="17" t="s">
        <v>415</v>
      </c>
    </row>
    <row r="35" spans="1:1">
      <c r="A35" s="17" t="s">
        <v>416</v>
      </c>
    </row>
    <row r="37" spans="1:1">
      <c r="A37" t="s">
        <v>417</v>
      </c>
    </row>
    <row r="39" spans="1:1">
      <c r="A39" t="s">
        <v>418</v>
      </c>
    </row>
    <row r="41" spans="1:1">
      <c r="A41" t="s">
        <v>419</v>
      </c>
    </row>
    <row r="43" spans="1:1">
      <c r="A43" t="s">
        <v>420</v>
      </c>
    </row>
    <row r="47" spans="1:1" ht="22.8">
      <c r="A47" s="15" t="s">
        <v>421</v>
      </c>
    </row>
    <row r="49" spans="1:1">
      <c r="A49" t="s">
        <v>422</v>
      </c>
    </row>
    <row r="51" spans="1:1">
      <c r="A51" t="s">
        <v>403</v>
      </c>
    </row>
    <row r="52" spans="1:1">
      <c r="A52" s="17"/>
    </row>
    <row r="53" spans="1:1">
      <c r="A53" s="17" t="s">
        <v>423</v>
      </c>
    </row>
    <row r="54" spans="1:1">
      <c r="A54" s="17" t="s">
        <v>424</v>
      </c>
    </row>
    <row r="55" spans="1:1">
      <c r="A55" s="17" t="s">
        <v>425</v>
      </c>
    </row>
    <row r="59" spans="1:1" ht="22.8">
      <c r="A59" s="15" t="s">
        <v>426</v>
      </c>
    </row>
    <row r="61" spans="1:1">
      <c r="A61" t="s">
        <v>427</v>
      </c>
    </row>
    <row r="63" spans="1:1">
      <c r="A63" t="s">
        <v>428</v>
      </c>
    </row>
    <row r="64" spans="1:1">
      <c r="A64" s="17"/>
    </row>
    <row r="65" spans="1:1">
      <c r="A65" s="17" t="s">
        <v>404</v>
      </c>
    </row>
    <row r="66" spans="1:1">
      <c r="A66" s="17" t="s">
        <v>429</v>
      </c>
    </row>
    <row r="67" spans="1:1">
      <c r="A67" s="17" t="s">
        <v>430</v>
      </c>
    </row>
    <row r="69" spans="1:1">
      <c r="A69" t="s">
        <v>431</v>
      </c>
    </row>
    <row r="73" spans="1:1" ht="22.8">
      <c r="A73" s="15" t="s">
        <v>432</v>
      </c>
    </row>
    <row r="75" spans="1:1">
      <c r="A75" t="s">
        <v>433</v>
      </c>
    </row>
    <row r="77" spans="1:1">
      <c r="A77" t="s">
        <v>434</v>
      </c>
    </row>
    <row r="78" spans="1:1">
      <c r="A78" s="17"/>
    </row>
    <row r="79" spans="1:1">
      <c r="A79" s="17" t="s">
        <v>435</v>
      </c>
    </row>
    <row r="80" spans="1:1">
      <c r="A80" s="17" t="s">
        <v>436</v>
      </c>
    </row>
    <row r="81" spans="1:1">
      <c r="A81" s="17" t="s">
        <v>437</v>
      </c>
    </row>
    <row r="82" spans="1:1">
      <c r="A82" s="17" t="s">
        <v>438</v>
      </c>
    </row>
    <row r="83" spans="1:1">
      <c r="A83" s="17" t="s">
        <v>439</v>
      </c>
    </row>
    <row r="84" spans="1:1">
      <c r="A84" s="17" t="s">
        <v>440</v>
      </c>
    </row>
    <row r="86" spans="1:1">
      <c r="A86" t="s">
        <v>441</v>
      </c>
    </row>
    <row r="90" spans="1:1" ht="22.8">
      <c r="A90" s="15" t="s">
        <v>442</v>
      </c>
    </row>
    <row r="92" spans="1:1">
      <c r="A92" t="s">
        <v>403</v>
      </c>
    </row>
    <row r="93" spans="1:1">
      <c r="A93" s="17"/>
    </row>
    <row r="94" spans="1:1">
      <c r="A94" s="17" t="s">
        <v>443</v>
      </c>
    </row>
    <row r="95" spans="1:1">
      <c r="A95" s="17" t="s">
        <v>444</v>
      </c>
    </row>
    <row r="96" spans="1:1">
      <c r="A96" s="17" t="s">
        <v>445</v>
      </c>
    </row>
    <row r="97" spans="1:1">
      <c r="A97" s="17" t="s">
        <v>446</v>
      </c>
    </row>
    <row r="99" spans="1:1">
      <c r="A99" t="s">
        <v>447</v>
      </c>
    </row>
    <row r="100" spans="1:1">
      <c r="A100" s="17"/>
    </row>
    <row r="101" spans="1:1">
      <c r="A101" s="17" t="s">
        <v>448</v>
      </c>
    </row>
    <row r="102" spans="1:1">
      <c r="A102" s="17" t="s">
        <v>449</v>
      </c>
    </row>
    <row r="103" spans="1:1">
      <c r="A103" s="17" t="s">
        <v>450</v>
      </c>
    </row>
    <row r="107" spans="1:1" ht="22.8">
      <c r="A107" s="15" t="s">
        <v>451</v>
      </c>
    </row>
    <row r="109" spans="1:1">
      <c r="A109" t="s">
        <v>403</v>
      </c>
    </row>
    <row r="110" spans="1:1">
      <c r="A110" s="17"/>
    </row>
    <row r="111" spans="1:1">
      <c r="A111" s="17" t="s">
        <v>452</v>
      </c>
    </row>
    <row r="112" spans="1:1">
      <c r="A112" s="17" t="s">
        <v>453</v>
      </c>
    </row>
    <row r="113" spans="1:1">
      <c r="A113" s="17" t="s">
        <v>454</v>
      </c>
    </row>
    <row r="117" spans="1:1" ht="22.8">
      <c r="A117" s="15" t="s">
        <v>455</v>
      </c>
    </row>
    <row r="119" spans="1:1">
      <c r="A119" t="s">
        <v>403</v>
      </c>
    </row>
    <row r="120" spans="1:1">
      <c r="A120" s="17"/>
    </row>
    <row r="121" spans="1:1">
      <c r="A121" s="17" t="s">
        <v>456</v>
      </c>
    </row>
    <row r="122" spans="1:1">
      <c r="A122" s="17" t="s">
        <v>457</v>
      </c>
    </row>
    <row r="123" spans="1:1">
      <c r="A123" s="17" t="s">
        <v>458</v>
      </c>
    </row>
    <row r="125" spans="1:1">
      <c r="A125" t="s">
        <v>459</v>
      </c>
    </row>
    <row r="129" spans="1:1" ht="22.8">
      <c r="A129" s="15" t="s">
        <v>460</v>
      </c>
    </row>
    <row r="131" spans="1:1">
      <c r="A131" t="s">
        <v>461</v>
      </c>
    </row>
    <row r="133" spans="1:1">
      <c r="A133" t="s">
        <v>403</v>
      </c>
    </row>
    <row r="134" spans="1:1">
      <c r="A134" s="17"/>
    </row>
    <row r="135" spans="1:1">
      <c r="A135" s="17" t="s">
        <v>462</v>
      </c>
    </row>
    <row r="136" spans="1:1">
      <c r="A136" s="17" t="s">
        <v>463</v>
      </c>
    </row>
    <row r="137" spans="1:1">
      <c r="A137" s="17" t="s">
        <v>464</v>
      </c>
    </row>
    <row r="141" spans="1:1" ht="22.8">
      <c r="A141" s="15" t="s">
        <v>465</v>
      </c>
    </row>
    <row r="143" spans="1:1">
      <c r="A143" t="s">
        <v>403</v>
      </c>
    </row>
    <row r="144" spans="1:1">
      <c r="A144" s="17"/>
    </row>
    <row r="145" spans="1:1">
      <c r="A145" s="17" t="s">
        <v>466</v>
      </c>
    </row>
    <row r="146" spans="1:1">
      <c r="A146" s="17" t="s">
        <v>467</v>
      </c>
    </row>
    <row r="147" spans="1:1">
      <c r="A147" s="17" t="s">
        <v>468</v>
      </c>
    </row>
    <row r="149" spans="1:1">
      <c r="A149" t="s">
        <v>469</v>
      </c>
    </row>
    <row r="153" spans="1:1" ht="22.8">
      <c r="A153" s="15" t="s">
        <v>470</v>
      </c>
    </row>
    <row r="155" spans="1:1">
      <c r="A155" t="s">
        <v>471</v>
      </c>
    </row>
    <row r="157" spans="1:1">
      <c r="A157" t="s">
        <v>403</v>
      </c>
    </row>
    <row r="158" spans="1:1">
      <c r="A158" s="17"/>
    </row>
    <row r="159" spans="1:1">
      <c r="A159" s="17" t="s">
        <v>472</v>
      </c>
    </row>
    <row r="160" spans="1:1">
      <c r="A160" s="17" t="s">
        <v>473</v>
      </c>
    </row>
    <row r="161" spans="1:1">
      <c r="A161" s="17" t="s">
        <v>474</v>
      </c>
    </row>
    <row r="162" spans="1:1">
      <c r="A162" s="17" t="s">
        <v>475</v>
      </c>
    </row>
    <row r="163" spans="1:1">
      <c r="A163" s="17" t="s">
        <v>476</v>
      </c>
    </row>
    <row r="165" spans="1:1">
      <c r="A165" t="s">
        <v>477</v>
      </c>
    </row>
    <row r="169" spans="1:1" ht="22.8">
      <c r="A169" s="15" t="s">
        <v>478</v>
      </c>
    </row>
    <row r="171" spans="1:1">
      <c r="A171" t="s">
        <v>479</v>
      </c>
    </row>
    <row r="173" spans="1:1">
      <c r="A173" t="s">
        <v>480</v>
      </c>
    </row>
    <row r="175" spans="1:1">
      <c r="A175" t="s">
        <v>481</v>
      </c>
    </row>
    <row r="176" spans="1:1">
      <c r="A176" s="17"/>
    </row>
    <row r="177" spans="1:1">
      <c r="A177" s="17" t="s">
        <v>482</v>
      </c>
    </row>
    <row r="178" spans="1:1">
      <c r="A178" s="17" t="s">
        <v>483</v>
      </c>
    </row>
    <row r="179" spans="1:1">
      <c r="A179" s="17" t="s">
        <v>484</v>
      </c>
    </row>
    <row r="180" spans="1:1">
      <c r="A180" s="17" t="s">
        <v>485</v>
      </c>
    </row>
    <row r="181" spans="1:1">
      <c r="A181" s="17" t="s">
        <v>486</v>
      </c>
    </row>
    <row r="182" spans="1:1">
      <c r="A182" s="17" t="s">
        <v>487</v>
      </c>
    </row>
    <row r="183" spans="1:1">
      <c r="A183" s="17" t="s">
        <v>488</v>
      </c>
    </row>
    <row r="184" spans="1:1">
      <c r="A184" s="17" t="s">
        <v>489</v>
      </c>
    </row>
    <row r="185" spans="1:1">
      <c r="A185" s="17" t="s">
        <v>490</v>
      </c>
    </row>
    <row r="187" spans="1:1">
      <c r="A187" t="s">
        <v>491</v>
      </c>
    </row>
    <row r="188" spans="1:1">
      <c r="A188" s="17"/>
    </row>
    <row r="189" spans="1:1">
      <c r="A189" s="17" t="s">
        <v>492</v>
      </c>
    </row>
    <row r="190" spans="1:1">
      <c r="A190" s="17" t="s">
        <v>493</v>
      </c>
    </row>
    <row r="191" spans="1:1">
      <c r="A191" s="17" t="s">
        <v>494</v>
      </c>
    </row>
    <row r="195" spans="1:1" ht="22.8">
      <c r="A195" s="15" t="s">
        <v>495</v>
      </c>
    </row>
    <row r="197" spans="1:1">
      <c r="A197" t="s">
        <v>403</v>
      </c>
    </row>
    <row r="198" spans="1:1">
      <c r="A198" s="17"/>
    </row>
    <row r="199" spans="1:1">
      <c r="A199" s="17" t="s">
        <v>496</v>
      </c>
    </row>
    <row r="200" spans="1:1">
      <c r="A200" s="17" t="s">
        <v>497</v>
      </c>
    </row>
    <row r="201" spans="1:1">
      <c r="A201" s="17" t="s">
        <v>498</v>
      </c>
    </row>
    <row r="205" spans="1:1" ht="22.8">
      <c r="A205" s="15" t="s">
        <v>499</v>
      </c>
    </row>
    <row r="207" spans="1:1">
      <c r="A207" t="s">
        <v>500</v>
      </c>
    </row>
    <row r="209" spans="1:1" ht="17.399999999999999">
      <c r="A209" s="18" t="s">
        <v>501</v>
      </c>
    </row>
    <row r="211" spans="1:1">
      <c r="A211" t="s">
        <v>404</v>
      </c>
    </row>
    <row r="213" spans="1:1" ht="17.399999999999999">
      <c r="A213" s="18" t="s">
        <v>502</v>
      </c>
    </row>
    <row r="215" spans="1:1">
      <c r="A215" t="s">
        <v>503</v>
      </c>
    </row>
    <row r="217" spans="1:1" ht="17.399999999999999">
      <c r="A217" s="18" t="s">
        <v>504</v>
      </c>
    </row>
    <row r="219" spans="1:1">
      <c r="A219" t="s">
        <v>505</v>
      </c>
    </row>
    <row r="221" spans="1:1" ht="17.399999999999999">
      <c r="A221" s="18" t="s">
        <v>506</v>
      </c>
    </row>
    <row r="223" spans="1:1">
      <c r="A223" t="s">
        <v>507</v>
      </c>
    </row>
    <row r="225" spans="1:1" ht="17.399999999999999">
      <c r="A225" s="18" t="s">
        <v>508</v>
      </c>
    </row>
    <row r="227" spans="1:1">
      <c r="A227" t="s">
        <v>509</v>
      </c>
    </row>
    <row r="231" spans="1:1" ht="22.8">
      <c r="A231" s="15" t="s">
        <v>510</v>
      </c>
    </row>
    <row r="233" spans="1:1">
      <c r="A233" t="s">
        <v>511</v>
      </c>
    </row>
    <row r="235" spans="1:1">
      <c r="A235" t="s">
        <v>512</v>
      </c>
    </row>
    <row r="237" spans="1:1">
      <c r="A237" t="s">
        <v>513</v>
      </c>
    </row>
    <row r="238" spans="1:1">
      <c r="A238" s="17"/>
    </row>
    <row r="239" spans="1:1">
      <c r="A239" s="17" t="s">
        <v>514</v>
      </c>
    </row>
    <row r="240" spans="1:1">
      <c r="A240" s="17" t="s">
        <v>515</v>
      </c>
    </row>
    <row r="241" spans="1:1">
      <c r="A241" s="17" t="s">
        <v>516</v>
      </c>
    </row>
    <row r="242" spans="1:1">
      <c r="A242" s="17" t="s">
        <v>517</v>
      </c>
    </row>
    <row r="243" spans="1:1">
      <c r="A243" s="17" t="s">
        <v>518</v>
      </c>
    </row>
    <row r="245" spans="1:1">
      <c r="A245" s="16" t="s">
        <v>519</v>
      </c>
    </row>
    <row r="247" spans="1:1">
      <c r="A247" t="s">
        <v>520</v>
      </c>
    </row>
    <row r="248" spans="1:1">
      <c r="A248" s="17"/>
    </row>
    <row r="249" spans="1:1">
      <c r="A249" s="17" t="s">
        <v>521</v>
      </c>
    </row>
    <row r="250" spans="1:1">
      <c r="A250" s="17" t="s">
        <v>522</v>
      </c>
    </row>
    <row r="251" spans="1:1">
      <c r="A251" s="17" t="s">
        <v>523</v>
      </c>
    </row>
    <row r="252" spans="1:1">
      <c r="A252" s="17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Daily Plan</vt:lpstr>
      <vt:lpstr>way to prepare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Teja</cp:lastModifiedBy>
  <dcterms:modified xsi:type="dcterms:W3CDTF">2026-09-02T05:59:57Z</dcterms:modified>
</cp:coreProperties>
</file>